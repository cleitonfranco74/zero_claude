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2" authorId="0">
      <text>
        <r>
          <rPr>
            <sz val="10"/>
            <rFont val="Arial"/>
            <family val="2"/>
          </rPr>
          <t xml:space="preserve">Variação 2019–2024 dos vínculos em 31/12. Indústria = alimentos + madeira/papel + outras indústrias + construção (mesmo recorte do VAB industrial do IBGE). Fonte: d1_emprego_rais.csv.</t>
        </r>
      </text>
    </comment>
    <comment ref="G13" authorId="0">
      <text>
        <r>
          <rPr>
            <sz val="10"/>
            <rFont val="Arial"/>
            <family val="2"/>
          </rPr>
          <t xml:space="preserve">Remuneração média nominal de 2024, ponderada pelos vínculos dos grupos industriais. Fonte: d1_emprego_rais.csv.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5" authorId="0">
      <text>
        <r>
          <rPr>
            <sz val="10"/>
            <rFont val="Arial"/>
            <family val="2"/>
          </rPr>
          <t xml:space="preserve">Variação 2019–2024. Comércio e serviços = varejo, atacado, alojamento/alimentação, transporte/logística, financeiro, saúde, educação e outros serviços (exclui adm. pública). Fonte: d1_emprego_rais.csv.</t>
        </r>
      </text>
    </comment>
    <comment ref="G16" authorId="0">
      <text>
        <r>
          <rPr>
            <sz val="10"/>
            <rFont val="Arial"/>
            <family val="2"/>
          </rPr>
          <t xml:space="preserve">CEMPRE 2021 (último ano da base d1_empresas.csv): número de empresas ÷ população 2021 × 1.000.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9" authorId="0">
      <text>
        <r>
          <rPr>
            <sz val="10"/>
            <rFont val="Arial"/>
            <family val="2"/>
          </rPr>
          <t xml:space="preserve">RAIS 2024: empregos formais ÷ população 2024 × 100.</t>
        </r>
      </text>
    </comment>
    <comment ref="G20" authorId="0">
      <text>
        <r>
          <rPr>
            <sz val="10"/>
            <rFont val="Arial"/>
            <family val="2"/>
          </rPr>
          <t xml:space="preserve">HHI sobre os 16 grupos setoriais da base tratada (agregação próxima às seções CNAE), RAIS 2024. MT calculado com o emprego somado dos 141 municípios.</t>
        </r>
      </text>
    </comment>
    <comment ref="G21" authorId="0">
      <text>
        <r>
          <rPr>
            <sz val="10"/>
            <rFont val="Arial"/>
            <family val="2"/>
          </rPr>
          <t xml:space="preserve">2022: último ano com os 13 municípios (2023 não tem Santo Antônio do Leverger). Fonte: d6_financas.csv (Siconfi/FINBRA), coluna autonomia_fiscal_pct = receita própria ÷ receita TOTAL. Aproxima receita própria ÷ receita corrente; como as receitas de capital são pequenas, a diferença tende a ser pequena, mas o denominador não é o mesmo.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  <comment ref="I21" authorId="0">
      <text>
        <r>
          <rPr>
            <sz val="10"/>
            <rFont val="Arial"/>
            <family val="2"/>
          </rPr>
          <t xml:space="preserve">MT = Σ receita própria ÷ Σ receita total dos 141 municípios em 2022 (não é o governo estadual).</t>
        </r>
      </text>
    </comment>
    <comment ref="N12" authorId="0">
      <text>
        <r>
          <rPr>
            <sz val="10"/>
            <rFont val="Arial"/>
            <family val="2"/>
          </rPr>
          <t xml:space="preserve">Base pequena: 1 vínculos industriais em 2019 e 24 em 2024. Variação instável; conferir o valor absoluto.</t>
        </r>
      </text>
    </comment>
    <comment ref="T12" authorId="0">
      <text>
        <r>
          <rPr>
            <sz val="10"/>
            <rFont val="Arial"/>
            <family val="2"/>
          </rPr>
          <t xml:space="preserve">Base pequena: 6 vínculos industriais em 2019 e 15 em 2024. Variação instável; conferir o valor absoluto.</t>
        </r>
      </text>
    </comment>
    <comment ref="V12" authorId="0">
      <text>
        <r>
          <rPr>
            <sz val="10"/>
            <rFont val="Arial"/>
            <family val="2"/>
          </rPr>
          <t xml:space="preserve">Base pequena: 34 vínculos industriais em 2019 e 76 em 2024. Variação instável; conferir o valor absoluto.</t>
        </r>
      </text>
    </comment>
    <comment ref="X12" authorId="0">
      <text>
        <r>
          <rPr>
            <sz val="10"/>
            <rFont val="Arial"/>
            <family val="2"/>
          </rPr>
          <t xml:space="preserve">Base pequena: 79 vínculos industriais em 2019 e 164 em 2024. Variação instável; conferir o valor absoluto.</t>
        </r>
      </text>
    </comment>
    <comment ref="AH12" authorId="0">
      <text>
        <r>
          <rPr>
            <sz val="10"/>
            <rFont val="Arial"/>
            <family val="2"/>
          </rPr>
          <t xml:space="preserve">Base pequena: 6 vínculos industriais em 2019 e 44 em 2024. Variação instável; conferir o valor absoluto.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4" authorId="0">
      <text>
        <r>
          <rPr>
            <sz val="10"/>
            <rFont val="Arial"/>
            <family val="2"/>
          </rPr>
          <t xml:space="preserve">Nota revista de 2 para 3 em 25/09/2026: 188 km² desmatados em 2019–2023 (d4_desmatamento.csv); 1.0% dos imóveis do CAR em conformidade (d4_car.csv).</t>
        </r>
      </text>
    </comment>
    <comment ref="N14" authorId="0">
      <text>
        <r>
          <rPr>
            <sz val="10"/>
            <rFont val="Arial"/>
            <family val="2"/>
          </rPr>
          <t xml:space="preserve">Nota revista de 1 para 2 em 25/09/2026: 117 km² desmatados em 2019–2023 (d4_desmatamento.csv); 0.6% dos imóveis do CAR em conformidade (d4_car.csv).</t>
        </r>
      </text>
    </comment>
    <comment ref="O14" authorId="0">
      <text>
        <r>
          <rPr>
            <sz val="10"/>
            <rFont val="Arial"/>
            <family val="2"/>
          </rPr>
          <t xml:space="preserve">Nota revista de 2 para 3 em 25/09/2026: 185 km² desmatados em 2019–2023 (d4_desmatamento.csv); 1.2% dos imóveis do CAR em conformidade (d4_car.csv).</t>
        </r>
      </text>
    </comment>
  </commentList>
</comments>
</file>

<file path=xl/sharedStrings.xml><?xml version="1.0" encoding="utf-8"?>
<sst xmlns="http://schemas.openxmlformats.org/spreadsheetml/2006/main" count="834" uniqueCount="347">
  <si>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</si>
  <si>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</si>
  <si>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</si>
  <si>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</si>
  <si>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</si>
  <si>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</si>
  <si>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</si>
  <si>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</si>
  <si>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</si>
  <si>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</si>
  <si>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</si>
  <si>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</si>
  <si>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</si>
  <si>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</si>
  <si>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</si>
  <si>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</si>
  <si>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</si>
  <si>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</si>
  <si>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</si>
  <si>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</si>
  <si>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</si>
  <si>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</si>
  <si>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</si>
  <si>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</si>
  <si>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</si>
  <si>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</si>
  <si>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</si>
  <si>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</si>
  <si>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</si>
  <si>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</si>
  <si>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</si>
  <si>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</si>
  <si>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</si>
  <si>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</si>
  <si>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</si>
  <si>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</si>
  <si>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</si>
  <si>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</si>
  <si>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</si>
  <si>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</si>
  <si>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</si>
  <si>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</si>
  <si>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</si>
  <si>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</si>
  <si>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</si>
  <si>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</si>
  <si>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</si>
  <si>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</si>
  <si>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</si>
  <si>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</si>
  <si>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</si>
  <si>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</si>
  <si>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</si>
  <si>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</si>
  <si>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</si>
  <si>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</si>
  <si>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</si>
  <si>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</si>
  <si>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</si>
  <si>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</si>
  <si>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</si>
  <si>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</si>
  <si>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</si>
  <si>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</si>
  <si>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</si>
  <si>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</si>
  <si>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</si>
  <si>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</si>
  <si>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</si>
  <si>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</si>
  <si>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</si>
  <si>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</si>
  <si>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</si>
  <si>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</si>
  <si>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</si>
  <si>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</si>
  <si>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</si>
  <si>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</si>
  <si>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</si>
  <si>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</si>
  <si>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</si>
  <si>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</si>
  <si>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</si>
  <si>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</si>
  <si>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</si>
  <si>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</si>
  <si>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</si>
  <si>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</si>
  <si>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</si>
  <si>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</si>
  <si>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</si>
  <si>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</si>
  <si>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</si>
  <si>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</si>
  <si>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</si>
  <si>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</si>
  <si>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</si>
  <si>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</si>
  <si>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</si>
  <si>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</si>
  <si>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</si>
  <si>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</si>
  <si>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</si>
  <si>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</si>
  <si>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</si>
  <si>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</si>
  <si>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</si>
  <si>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</si>
  <si>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</si>
  <si>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</si>
  <si>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</si>
  <si>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</si>
  <si>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</si>
  <si>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COBERTURA MÍNIMA ATINGIDA; NOTAS EXTERNAS A VALIDAR</t>
  </si>
  <si>
    <t xml:space="preserve">A regra de 75% de cobertura foi atingida em 25/09/2026: 14 de 16 indicadores internos com dado e 11 de 11 fatores externos pontuados. As notas externas ainda são preliminares (uma rodada, pesquisa web-based) e precisam de consenso da equipe antes de uso em relatório.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</si>
  <si>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</si>
  <si>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</si>
  <si>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</si>
  <si>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</si>
  <si>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</si>
  <si>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</si>
  <si>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</si>
  <si>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</si>
  <si>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</si>
  <si>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</si>
  <si>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</si>
  <si>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</si>
  <si>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</si>
  <si>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</si>
  <si>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</si>
  <si>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</si>
  <si>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</si>
  <si>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</si>
  <si>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</si>
  <si>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</si>
  <si>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</si>
  <si>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</si>
  <si>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</si>
  <si>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</si>
  <si>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</si>
  <si>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</si>
  <si>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</si>
  <si>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</si>
  <si>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</si>
  <si>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</si>
  <si>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</si>
  <si>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</si>
  <si>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</si>
  <si>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</si>
  <si>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(2 indicadores)</t>
  </si>
  <si>
    <t xml:space="preserve">AGR-05</t>
  </si>
  <si>
    <t xml:space="preserve">IBGE – PAM, SIDRA Tabela 5457 (valor da produção por produto). A base tratada d1_agropecuaria.csv traz só a diversificação do VBP entre lavoura, pecuária, extrativismo e pesca, que não mede a mesma coisa; por isso o indicador segue em branco.</t>
  </si>
  <si>
    <t xml:space="preserve">AGR-02, AGR-03</t>
  </si>
  <si>
    <t xml:space="preserve">Preenchidos em 25/09/2026 (ver bloco "BASES TRATADAS" abaixo).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</si>
  <si>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</si>
  <si>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</si>
  <si>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</si>
  <si>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Preenchidos em 25/09/2026 com d1_emprego_rais.csv (ver bloco "BASES TRATADAS" abaixo).</t>
  </si>
  <si>
    <t xml:space="preserve">CS-03</t>
  </si>
  <si>
    <t xml:space="preserve">Preenchido em 25/09/2026 com d1_empresas.csv (CEMPRE 2021).</t>
  </si>
  <si>
    <t xml:space="preserve">EST-05</t>
  </si>
  <si>
    <t xml:space="preserve">Preenchido em 25/09/2026 com d6_financas.csv (ver bloco "BASES TRATADAS" abaixo).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</si>
  <si>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</si>
  <si>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</si>
  <si>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</si>
  <si>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</si>
  <si>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</si>
  <si>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Pendentes: AGR-04 (Censo Agro 2017, fora do catálogo) e AGR-05 (a base só tem diversificação entre lavoura, pecuária, extrativismo e pesca).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</si>
  <si>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</si>
  <si>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</si>
  <si>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</si>
  <si>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</si>
  <si>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</si>
  <si>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</si>
  <si>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</si>
  <si>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</si>
  <si>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</si>
  <si>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</si>
  <si>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</si>
  <si>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</si>
  <si>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</si>
  <si>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</si>
  <si>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</si>
  <si>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</si>
  <si>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</si>
  <si>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</si>
  <si>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</si>
  <si>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IND-02</t>
  </si>
  <si>
    <t xml:space="preserve">d1_emprego_rais.csv (RAIS/MTE)</t>
  </si>
  <si>
    <t xml:space="preserve">Vínculos industriais = empregos_formais × participação de ind. alimentos, madeira/papel, outras indústrias e construção. Variação 2019–2024. Ref. MT = +36.92%.</t>
  </si>
  <si>
    <t xml:space="preserve">Bases muito pequenas em Barão de Melgaço, Glória D'Oeste, Itiquira e Porto Esperidião (menos de 100 vínculos em 2019): ver comentários nas células.</t>
  </si>
  <si>
    <t xml:space="preserve">IND-03</t>
  </si>
  <si>
    <t xml:space="preserve">Média das remunerações nominais dos grupos industriais, ponderada pelos vínculos. Ref. MT = R$ 2956.72.</t>
  </si>
  <si>
    <t xml:space="preserve">Grupos sem remuneração informada foram excluídos da ponderação.</t>
  </si>
  <si>
    <t xml:space="preserve">CS-02</t>
  </si>
  <si>
    <t xml:space="preserve">Vínculos em comércio e serviços (exceto adm. pública). Variação 2019–2024. Ref. MT = +38.11%.</t>
  </si>
  <si>
    <t xml:space="preserve">d1_empresas.csv (IBGE – CEMPRE) e população de painel_municipios_mt.csv</t>
  </si>
  <si>
    <t xml:space="preserve">Número de empresas ÷ população × 1.000. Ref. MT = 33.22.</t>
  </si>
  <si>
    <t xml:space="preserve">Confere com a coluna empresas_por_1000_hab da própria base.</t>
  </si>
  <si>
    <t xml:space="preserve">EST-03</t>
  </si>
  <si>
    <t xml:space="preserve">d1_emprego_rais.csv e painel_municipios_mt.csv</t>
  </si>
  <si>
    <t xml:space="preserve">Empregos formais ÷ população × 100. Ref. MT = 31.51.</t>
  </si>
  <si>
    <t xml:space="preserve">EST-04</t>
  </si>
  <si>
    <t xml:space="preserve">HHI = Σ s² das participações dos 16 grupos setoriais do emprego formal. Ref. MT = 0.1254.</t>
  </si>
  <si>
    <t xml:space="preserve">Os 16 grupos da base tratada aproximam as seções CNAE; o HHI é comparável entre municípios e MT porque usa o mesmo recorte.</t>
  </si>
  <si>
    <t xml:space="preserve">Conferência</t>
  </si>
  <si>
    <t xml:space="preserve">2021 / 2023</t>
  </si>
  <si>
    <t xml:space="preserve">d1_pib_vab.csv (IBGE – PIB dos Municípios)</t>
  </si>
  <si>
    <t xml:space="preserve">QLs (AGR-01, IND-01, CS-01) e EST-02 de 2021 recalculados com lq_agro, lq_ind, lq_serv e sh_adespss_va; participações setoriais de MT; vinculos_31dez 2023 comparado com a RAIS.</t>
  </si>
  <si>
    <t xml:space="preserve">Diferença máxima menor que 0,001 nos QLs e no EST-02; participações de MT idênticas às da aba Ranking Locacional; vínculos idênticos. O VAB setorial da base também termina em 2021, então a LIMITAÇÃO acima continua valendo.</t>
  </si>
  <si>
    <t xml:space="preserve">2022</t>
  </si>
  <si>
    <t xml:space="preserve">d6_financas.csv (Siconfi/FINBRA), coluna autonomia_fiscal_pct</t>
  </si>
  <si>
    <t xml:space="preserve">Receita própria ÷ receita total × 100 (a base não traz a receita corrente). Ref. MT = Σ receita própria ÷ Σ receita total dos 141 municípios = 18.24%.</t>
  </si>
  <si>
    <t xml:space="preserve">O cálculo com receita_propria_real ÷ receita_total_real reproduz a coluna (diferença &lt; 0,01 p.p.). Denominador diferente do previsto (receita total em vez de corrente): tratar como aproximação.</t>
  </si>
  <si>
    <t xml:space="preserve">AM-03 (revisão)</t>
  </si>
  <si>
    <t xml:space="preserve">2019–2023 / 2024</t>
  </si>
  <si>
    <t xml:space="preserve">d4_desmatamento.csv (PRODES/MapBiomas) e d4_car.csv (SICAR)</t>
  </si>
  <si>
    <t xml:space="preserve">Notas revistas com dados: Barão de Melgaço 2→3, Poconé 2→3, N. Sra. do Livramento 1→2. Os demais mantidos.</t>
  </si>
  <si>
    <t xml:space="preserve">Barão (188 km²), Poconé (185 km²), Cáceres (181), Sto. Antônio do Leverger (170) e Livramento (117) concentram o desmatamento recente da região; a conformidade do CAR é baixa em todos (0,6%–3,7%).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</si>
  <si>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</si>
  <si>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</si>
  <si>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</si>
  <si>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</si>
  <si>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</si>
  <si>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</si>
  <si>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</si>
  <si>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</si>
  <si>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</si>
  <si>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</si>
  <si>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</si>
  <si>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</si>
  <si>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</si>
  <si>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</si>
  <si>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</si>
  <si>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</si>
  <si>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</si>
  <si>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</si>
  <si>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</si>
  <si>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</si>
  <si>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</si>
  <si>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</si>
  <si>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</si>
  <si>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</si>
  <si>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</si>
  <si>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</si>
  <si>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</si>
  <si>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</si>
  <si>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</si>
  <si>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</si>
  <si>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</si>
  <si>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</si>
  <si>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</si>
  <si>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</si>
  <si>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</si>
  <si>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</si>
  <si>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</si>
  <si>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</si>
  <si>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</si>
  <si>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</si>
  <si>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</si>
  <si>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</si>
  <si>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Variação do emprego formal na indústria em 5 anos</t>
  </si>
  <si>
    <t xml:space="preserve">RAIS (MTE)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</si>
  <si>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</si>
  <si>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</si>
  <si>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</si>
  <si>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</si>
  <si>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</si>
  <si>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</si>
  <si>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</si>
  <si>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</si>
  <si>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IBGE – CEMPRE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</si>
  <si>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</si>
  <si>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</si>
  <si>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</si>
  <si>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</si>
  <si>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Vínculos formais por 100 habitantes</t>
  </si>
  <si>
    <t xml:space="preserve">vínculos/100 hab.</t>
  </si>
  <si>
    <t xml:space="preserve">RAIS + IBGE (população)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</si>
  <si>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</si>
  <si>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</si>
  <si>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</si>
  <si>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</si>
  <si>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</si>
  <si>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</si>
  <si>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</si>
  <si>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</si>
  <si>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</si>
  <si>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</si>
  <si>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</si>
  <si>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</si>
  <si>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</si>
  <si>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</si>
  <si>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</si>
  <si>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</si>
  <si>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</si>
  <si>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</si>
  <si>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</si>
  <si>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</si>
  <si>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</si>
  <si>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</si>
  <si>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</si>
  <si>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</si>
  <si>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</si>
  <si>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</si>
  <si>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</si>
  <si>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</si>
  <si>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</si>
  <si>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</si>
  <si>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</si>
  <si>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</si>
  <si>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</si>
  <si>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</si>
  <si>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</si>
  <si>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</si>
  <si>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 | Dados (d4_desmatamento.csv, d4_car.csv): desmatamento 2019–2023 — Barão de Melgaço 188 km²; Poconé 185 km²; Cáceres 181 km²; Santo Antônio do Leverger 170 km²; Nossa Senhora do Livramento 117 km²; Itiquira 56 km²; Porto Esperidião 35 km²; demais abaixo de 10 km². Só 0,6% a 3,7% dos imóveis do CAR estão em conformidade nos 13 municípios (2024).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</si>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</sst>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  <numFmt numFmtId="176" formatCode="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3 neutros | 2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3 item(ns)</v>
      </c>
      <c r="C6" s="11"/>
      <c r="D6" s="11"/>
      <c r="F6" s="12" t="str">
        <f aca="false">"FRAQUEZAS (W) — "&amp;COUNTIF(Aux!$C$6:$C$21,"Fraqueza")&amp;" item(ns)"</f>
        <v>FRAQUEZAS (W) — 8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[Agropecuária] AGR-03 – Variação do efetivo bovino em 5 anos (%)</v>
      </c>
      <c r="D8" s="18" t="n">
        <f aca="false">IFERROR(INDEX(Aux!$D$6:$D$21,MATCH(1,Aux!$E$6:$E$21,0)),"")</f>
        <v>22.65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IFERROR(INDEX(Aux!$B$6:$B$21,MATCH(2,Aux!$E$6:$E$21,0)),"")</f>
        <v>[Indústria] IND-02 – Variação do emprego formal na indústria em 5 anos (%)</v>
      </c>
      <c r="D9" s="18" t="n">
        <f aca="false">IFERROR(INDEX(Aux!$D$6:$D$21,MATCH(2,Aux!$E$6:$E$21,0)),"")</f>
        <v>58.91</v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IFERROR(INDEX(Aux!$B$6:$B$21,MATCH(3,Aux!$E$6:$E$21,0)),"")</f>
        <v>[Comércio e Serviços] CS-01 – Quociente locacional do VAB de serviços, exceto adm. pública (base MT) (índice)</v>
      </c>
      <c r="D10" s="18" t="n">
        <f aca="false">IFERROR(INDEX(Aux!$D$6:$D$21,MATCH(3,Aux!$E$6:$E$21,0)),"")</f>
        <v>1.3013</v>
      </c>
      <c r="F10" s="19" t="n">
        <f aca="false">IF(G10="","",3)</f>
        <v>3</v>
      </c>
      <c r="G10" s="20" t="str">
        <f aca="false">IFERROR(INDEX(Aux!$B$6:$B$21,MATCH(3,Aux!$F$6:$F$21,0)),"")</f>
        <v>[Indústria] IND-03 – Remuneração média do emprego formal industrial (R$)</v>
      </c>
      <c r="H10" s="21" t="n">
        <f aca="false">IFERROR(INDEX(Aux!$D$6:$D$21,MATCH(3,Aux!$F$6:$F$21,0)),"")</f>
        <v>2345.65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[Comércio e Serviços] CS-02 – Variação do emprego formal em comércio e serviços em 5 anos (%)</v>
      </c>
      <c r="H11" s="21" t="n">
        <f aca="false">IFERROR(INDEX(Aux!$D$6:$D$21,MATCH(4,Aux!$F$6:$F$21,0)),"")</f>
        <v>13.05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n">
        <f aca="false">IF(G12="","",5)</f>
        <v>5</v>
      </c>
      <c r="G12" s="20" t="str">
        <f aca="false">IFERROR(INDEX(Aux!$B$6:$B$21,MATCH(5,Aux!$F$6:$F$21,0)),"")</f>
        <v>[Comércio e Serviços] CS-03 – Empresas e outras organizações ativas por mil habitantes (un./mil hab.)</v>
      </c>
      <c r="H12" s="21" t="n">
        <f aca="false">IFERROR(INDEX(Aux!$D$6:$D$21,MATCH(5,Aux!$F$6:$F$21,0)),"")</f>
        <v>19.41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n">
        <f aca="false">IF(G13="","",6)</f>
        <v>6</v>
      </c>
      <c r="G13" s="20" t="str">
        <f aca="false">IFERROR(INDEX(Aux!$B$6:$B$21,MATCH(6,Aux!$F$6:$F$21,0)),"")</f>
        <v>[Estrutura Econômica e Fiscal] EST-01 – PIB per capita (R$)</v>
      </c>
      <c r="H13" s="21" t="n">
        <f aca="false">IFERROR(INDEX(Aux!$D$6:$D$21,MATCH(6,Aux!$F$6:$F$21,0)),"")</f>
        <v>31174.15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n">
        <f aca="false">IF(G14="","",7)</f>
        <v>7</v>
      </c>
      <c r="G14" s="20" t="str">
        <f aca="false">IFERROR(INDEX(Aux!$B$6:$B$21,MATCH(7,Aux!$F$6:$F$21,0)),"")</f>
        <v>[Estrutura Econômica e Fiscal] EST-02 – Participação da administração pública no VAB total (%)</v>
      </c>
      <c r="H14" s="21" t="n">
        <f aca="false">IFERROR(INDEX(Aux!$D$6:$D$21,MATCH(7,Aux!$F$6:$F$21,0)),"")</f>
        <v>30.82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n">
        <f aca="false">IF(G15="","",8)</f>
        <v>8</v>
      </c>
      <c r="G15" s="20" t="str">
        <f aca="false">IFERROR(INDEX(Aux!$B$6:$B$21,MATCH(8,Aux!$F$6:$F$21,0)),"")</f>
        <v>[Estrutura Econômica e Fiscal] EST-03 – Vínculos formais por 100 habitantes (vínculos/100 hab.)</v>
      </c>
      <c r="H15" s="21" t="n">
        <f aca="false">IFERROR(INDEX(Aux!$D$6:$D$21,MATCH(8,Aux!$F$6:$F$21,0)),"")</f>
        <v>18.4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3</v>
      </c>
      <c r="C4" s="36" t="n">
        <f aca="false">COUNTIF('Indicadores (F-W)'!O$6:O$21,"Fraqueza")</f>
        <v>10</v>
      </c>
      <c r="D4" s="36" t="n">
        <f aca="false">COUNTIF('Indicadores (F-W)'!O$6:O$21,"Neutro")</f>
        <v>1</v>
      </c>
      <c r="E4" s="36" t="n">
        <f aca="false">COUNTBLANK('Indicadores (F-W)'!N$6:N$21)</f>
        <v>2</v>
      </c>
      <c r="F4" s="36" t="n">
        <f aca="false">B4-C4</f>
        <v>-7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3</v>
      </c>
      <c r="C5" s="36" t="n">
        <f aca="false">COUNTIF('Indicadores (F-W)'!Q$6:Q$21,"Fraqueza")</f>
        <v>8</v>
      </c>
      <c r="D5" s="36" t="n">
        <f aca="false">COUNTIF('Indicadores (F-W)'!Q$6:Q$21,"Neutro")</f>
        <v>3</v>
      </c>
      <c r="E5" s="36" t="n">
        <f aca="false">COUNTBLANK('Indicadores (F-W)'!P$6:P$21)</f>
        <v>2</v>
      </c>
      <c r="F5" s="36" t="n">
        <f aca="false">B5-C5</f>
        <v>-5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3</v>
      </c>
      <c r="C6" s="36" t="n">
        <f aca="false">COUNTIF('Indicadores (F-W)'!S$6:S$21,"Fraqueza")</f>
        <v>10</v>
      </c>
      <c r="D6" s="36" t="n">
        <f aca="false">COUNTIF('Indicadores (F-W)'!S$6:S$21,"Neutro")</f>
        <v>1</v>
      </c>
      <c r="E6" s="36" t="n">
        <f aca="false">COUNTBLANK('Indicadores (F-W)'!R$6:R$21)</f>
        <v>2</v>
      </c>
      <c r="F6" s="36" t="n">
        <f aca="false">B6-C6</f>
        <v>-7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3</v>
      </c>
      <c r="C7" s="36" t="n">
        <f aca="false">COUNTIF('Indicadores (F-W)'!U$6:U$21,"Fraqueza")</f>
        <v>10</v>
      </c>
      <c r="D7" s="36" t="n">
        <f aca="false">COUNTIF('Indicadores (F-W)'!U$6:U$21,"Neutro")</f>
        <v>1</v>
      </c>
      <c r="E7" s="36" t="n">
        <f aca="false">COUNTBLANK('Indicadores (F-W)'!T$6:T$21)</f>
        <v>2</v>
      </c>
      <c r="F7" s="36" t="n">
        <f aca="false">B7-C7</f>
        <v>-7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7</v>
      </c>
      <c r="C8" s="36" t="n">
        <f aca="false">COUNTIF('Indicadores (F-W)'!W$6:W$21,"Fraqueza")</f>
        <v>6</v>
      </c>
      <c r="D8" s="36" t="n">
        <f aca="false">COUNTIF('Indicadores (F-W)'!W$6:W$21,"Neutro")</f>
        <v>1</v>
      </c>
      <c r="E8" s="36" t="n">
        <f aca="false">COUNTBLANK('Indicadores (F-W)'!V$6:V$21)</f>
        <v>2</v>
      </c>
      <c r="F8" s="36" t="n">
        <f aca="false">B8-C8</f>
        <v>1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5</v>
      </c>
      <c r="I8" s="36" t="n">
        <f aca="false">G8-H8</f>
        <v>0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3</v>
      </c>
      <c r="C9" s="36" t="n">
        <f aca="false">COUNTIF('Indicadores (F-W)'!Y$6:Y$21,"Fraqueza")</f>
        <v>7</v>
      </c>
      <c r="D9" s="36" t="n">
        <f aca="false">COUNTIF('Indicadores (F-W)'!Y$6:Y$21,"Neutro")</f>
        <v>4</v>
      </c>
      <c r="E9" s="36" t="n">
        <f aca="false">COUNTBLANK('Indicadores (F-W)'!X$6:X$21)</f>
        <v>2</v>
      </c>
      <c r="F9" s="36" t="n">
        <f aca="false">B9-C9</f>
        <v>-4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2</v>
      </c>
      <c r="C10" s="36" t="n">
        <f aca="false">COUNTIF('Indicadores (F-W)'!AA$6:AA$21,"Fraqueza")</f>
        <v>9</v>
      </c>
      <c r="D10" s="36" t="n">
        <f aca="false">COUNTIF('Indicadores (F-W)'!AA$6:AA$21,"Neutro")</f>
        <v>3</v>
      </c>
      <c r="E10" s="36" t="n">
        <f aca="false">COUNTBLANK('Indicadores (F-W)'!Z$6:Z$21)</f>
        <v>2</v>
      </c>
      <c r="F10" s="36" t="n">
        <f aca="false">B10-C10</f>
        <v>-7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2</v>
      </c>
      <c r="C11" s="36" t="n">
        <f aca="false">COUNTIF('Indicadores (F-W)'!AC$6:AC$21,"Fraqueza")</f>
        <v>8</v>
      </c>
      <c r="D11" s="36" t="n">
        <f aca="false">COUNTIF('Indicadores (F-W)'!AC$6:AC$21,"Neutro")</f>
        <v>4</v>
      </c>
      <c r="E11" s="36" t="n">
        <f aca="false">COUNTBLANK('Indicadores (F-W)'!AB$6:AB$21)</f>
        <v>2</v>
      </c>
      <c r="F11" s="36" t="n">
        <f aca="false">B11-C11</f>
        <v>-6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4</v>
      </c>
      <c r="C12" s="36" t="n">
        <f aca="false">COUNTIF('Indicadores (F-W)'!AE$6:AE$21,"Fraqueza")</f>
        <v>8</v>
      </c>
      <c r="D12" s="36" t="n">
        <f aca="false">COUNTIF('Indicadores (F-W)'!AE$6:AE$21,"Neutro")</f>
        <v>2</v>
      </c>
      <c r="E12" s="36" t="n">
        <f aca="false">COUNTBLANK('Indicadores (F-W)'!AD$6:AD$21)</f>
        <v>2</v>
      </c>
      <c r="F12" s="36" t="n">
        <f aca="false">B12-C12</f>
        <v>-4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4</v>
      </c>
      <c r="I12" s="36" t="n">
        <f aca="false">G12-H12</f>
        <v>0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1</v>
      </c>
      <c r="C13" s="36" t="n">
        <f aca="false">COUNTIF('Indicadores (F-W)'!AG$6:AG$21,"Fraqueza")</f>
        <v>11</v>
      </c>
      <c r="D13" s="36" t="n">
        <f aca="false">COUNTIF('Indicadores (F-W)'!AG$6:AG$21,"Neutro")</f>
        <v>2</v>
      </c>
      <c r="E13" s="36" t="n">
        <f aca="false">COUNTBLANK('Indicadores (F-W)'!AF$6:AF$21)</f>
        <v>2</v>
      </c>
      <c r="F13" s="36" t="n">
        <f aca="false">B13-C13</f>
        <v>-10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3</v>
      </c>
      <c r="C14" s="36" t="n">
        <f aca="false">COUNTIF('Indicadores (F-W)'!AI$6:AI$21,"Fraqueza")</f>
        <v>9</v>
      </c>
      <c r="D14" s="36" t="n">
        <f aca="false">COUNTIF('Indicadores (F-W)'!AI$6:AI$21,"Neutro")</f>
        <v>2</v>
      </c>
      <c r="E14" s="36" t="n">
        <f aca="false">COUNTBLANK('Indicadores (F-W)'!AH$6:AH$21)</f>
        <v>2</v>
      </c>
      <c r="F14" s="36" t="n">
        <f aca="false">B14-C14</f>
        <v>-6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4</v>
      </c>
      <c r="I14" s="36" t="n">
        <f aca="false">G14-H14</f>
        <v>-1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4</v>
      </c>
      <c r="C15" s="36" t="n">
        <f aca="false">COUNTIF('Indicadores (F-W)'!AK$6:AK$21,"Fraqueza")</f>
        <v>3</v>
      </c>
      <c r="D15" s="36" t="n">
        <f aca="false">COUNTIF('Indicadores (F-W)'!AK$6:AK$21,"Neutro")</f>
        <v>7</v>
      </c>
      <c r="E15" s="36" t="n">
        <f aca="false">COUNTBLANK('Indicadores (F-W)'!AJ$6:AJ$21)</f>
        <v>2</v>
      </c>
      <c r="F15" s="36" t="n">
        <f aca="false">B15-C15</f>
        <v>1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2</v>
      </c>
      <c r="C16" s="36" t="n">
        <f aca="false">COUNTIF('Indicadores (F-W)'!AM$6:AM$21,"Fraqueza")</f>
        <v>11</v>
      </c>
      <c r="D16" s="36" t="n">
        <f aca="false">COUNTIF('Indicadores (F-W)'!AM$6:AM$21,"Neutro")</f>
        <v>1</v>
      </c>
      <c r="E16" s="36" t="n">
        <f aca="false">COUNTBLANK('Indicadores (F-W)'!AL$6:AL$21)</f>
        <v>2</v>
      </c>
      <c r="F16" s="36" t="n">
        <f aca="false">B16-C16</f>
        <v>-9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8</v>
      </c>
      <c r="D27" s="36" t="n">
        <f aca="false">COUNTIF('Indicadores (F-W)'!$N12:$AM12,"Neutro")</f>
        <v>0</v>
      </c>
      <c r="E27" s="36" t="n">
        <f aca="false">COUNTIF('Indicadores (F-W)'!$N12:$AM12,"Fraqueza")</f>
        <v>5</v>
      </c>
      <c r="F27" s="36" t="n">
        <f aca="false">13-C27-D27-E27</f>
        <v>0</v>
      </c>
      <c r="G27" s="36" t="str">
        <f aca="false">IF(C27+D27+E27=0,"sem dados",IF(C27&gt;=13/2,"Força regional",IF(E27&gt;=13/2,"Fraqueza regional","Heterogêneo")))</f>
        <v>Força regional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5</v>
      </c>
      <c r="E28" s="36" t="n">
        <f aca="false">COUNTIF('Indicadores (F-W)'!$N13:$AM13,"Fraqueza")</f>
        <v>8</v>
      </c>
      <c r="F28" s="36" t="n">
        <f aca="false">13-C28-D28-E28</f>
        <v>0</v>
      </c>
      <c r="G28" s="36" t="str">
        <f aca="false">IF(C28+D28+E28=0,"sem dados",IF(C28&gt;=13/2,"Força regional",IF(E28&gt;=13/2,"Fraqueza regional","Heterogêneo")))</f>
        <v>Fraqueza regional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3</v>
      </c>
      <c r="D30" s="36" t="n">
        <f aca="false">COUNTIF('Indicadores (F-W)'!$N15:$AM15,"Neutro")</f>
        <v>1</v>
      </c>
      <c r="E30" s="36" t="n">
        <f aca="false">COUNTIF('Indicadores (F-W)'!$N15:$AM15,"Fraqueza")</f>
        <v>9</v>
      </c>
      <c r="F30" s="36" t="n">
        <f aca="false">13-C30-D30-E30</f>
        <v>0</v>
      </c>
      <c r="G30" s="36" t="str">
        <f aca="false">IF(C30+D30+E30=0,"sem dados",IF(C30&gt;=13/2,"Força regional",IF(E30&gt;=13/2,"Fraqueza regional","Heterogêneo")))</f>
        <v>Fraqueza regional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1</v>
      </c>
      <c r="D31" s="36" t="n">
        <f aca="false">COUNTIF('Indicadores (F-W)'!$N16:$AM16,"Neutro")</f>
        <v>1</v>
      </c>
      <c r="E31" s="36" t="n">
        <f aca="false">COUNTIF('Indicadores (F-W)'!$N16:$AM16,"Fraqueza")</f>
        <v>11</v>
      </c>
      <c r="F31" s="36" t="n">
        <f aca="false">13-C31-D31-E31</f>
        <v>0</v>
      </c>
      <c r="G31" s="36" t="str">
        <f aca="false">IF(C31+D31+E31=0,"sem dados",IF(C31&gt;=13/2,"Força regional",IF(E31&gt;=13/2,"Fraqueza regional","Heterogêneo")))</f>
        <v>Fraqueza regional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1</v>
      </c>
      <c r="D34" s="36" t="n">
        <f aca="false">COUNTIF('Indicadores (F-W)'!$N19:$AM19,"Neutro")</f>
        <v>2</v>
      </c>
      <c r="E34" s="36" t="n">
        <f aca="false">COUNTIF('Indicadores (F-W)'!$N19:$AM19,"Fraqueza")</f>
        <v>10</v>
      </c>
      <c r="F34" s="36" t="n">
        <f aca="false">13-C34-D34-E34</f>
        <v>0</v>
      </c>
      <c r="G34" s="36" t="str">
        <f aca="false">IF(C34+D34+E34=0,"sem dados",IF(C34&gt;=13/2,"Força regional",IF(E34&gt;=13/2,"Fraqueza regional","Heterogêneo")))</f>
        <v>Fraqueza regional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3</v>
      </c>
      <c r="E35" s="36" t="n">
        <f aca="false">COUNTIF('Indicadores (F-W)'!$N20:$AM20,"Fraqueza")</f>
        <v>10</v>
      </c>
      <c r="F35" s="36" t="n">
        <f aca="false">13-C35-D35-E35</f>
        <v>0</v>
      </c>
      <c r="G35" s="36" t="str">
        <f aca="false">IF(C35+D35+E35=0,"sem dados",IF(C35&gt;=13/2,"Força regional",IF(E35&gt;=13/2,"Fraqueza regional","Heterogêneo")))</f>
        <v>Fraqueza regional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1</v>
      </c>
      <c r="D36" s="36" t="n">
        <f aca="false">COUNTIF('Indicadores (F-W)'!$N21:$AM21,"Neutro")</f>
        <v>1</v>
      </c>
      <c r="E36" s="36" t="n">
        <f aca="false">COUNTIF('Indicadores (F-W)'!$N21:$AM21,"Fraqueza")</f>
        <v>11</v>
      </c>
      <c r="F36" s="36" t="n">
        <f aca="false">13-C36-D36-E36</f>
        <v>0</v>
      </c>
      <c r="G36" s="36" t="str">
        <f aca="false">IF(C36+D36+E36=0,"sem dados",IF(C36&gt;=13/2,"Força regional",IF(E36&gt;=13/2,"Fraqueza regional","Heterogêneo")))</f>
        <v>Fraqueza regional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2.15384615384615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1.76923076923077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7</v>
      </c>
      <c r="E46" s="39" t="n">
        <f aca="false">IF(COUNT('Fatores Externos (O-A)'!$F12:$R12)=0,"",AVERAGE('Fatores Externos (O-A)'!$F12:$R12))</f>
        <v>1.84615384615385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12</v>
      </c>
      <c r="E48" s="39" t="n">
        <f aca="false">IF(COUNT('Fatores Externos (O-A)'!$F14:$R14)=0,"",AVERAGE('Fatores Externos (O-A)'!$F14:$R14))</f>
        <v>2.38461538461538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3</v>
      </c>
      <c r="C5" s="53" t="n">
        <f aca="false">Painel!C4</f>
        <v>10</v>
      </c>
      <c r="D5" s="53" t="n">
        <f aca="false">16-Painel!E4</f>
        <v>14</v>
      </c>
      <c r="E5" s="54" t="n">
        <f aca="false">D5/16</f>
        <v>0.875</v>
      </c>
      <c r="F5" s="55" t="n">
        <f aca="false">IF(D5=0,"",(B5-C5)/D5)</f>
        <v>-0.5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-0.295454545454545</v>
      </c>
      <c r="M5" s="46" t="n">
        <f aca="false">IF(L5="","",RANK(L5,$L$5:$L$17,0))</f>
        <v>8</v>
      </c>
      <c r="N5" s="49" t="str">
        <f aca="false">IF(AND(E5&gt;=0.75,J5&gt;=0.75),"Consolidado","PROVISÓRIO")</f>
        <v>Consolidado</v>
      </c>
      <c r="T5" s="1" t="n">
        <f aca="false">IF(L5="",-9,L5)-ROW()*0.000000001</f>
        <v>-0.295454550454546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3</v>
      </c>
      <c r="C6" s="53" t="n">
        <f aca="false">Painel!C5</f>
        <v>8</v>
      </c>
      <c r="D6" s="53" t="n">
        <f aca="false">16-Painel!E5</f>
        <v>14</v>
      </c>
      <c r="E6" s="54" t="n">
        <f aca="false">D6/16</f>
        <v>0.875</v>
      </c>
      <c r="F6" s="55" t="n">
        <f aca="false">IF(D6=0,"",(B6-C6)/D6)</f>
        <v>-0.357142857142857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-0.0876623376623377</v>
      </c>
      <c r="M6" s="46" t="n">
        <f aca="false">IF(L6="","",RANK(L6,$L$5:$L$17,0))</f>
        <v>4</v>
      </c>
      <c r="N6" s="49" t="str">
        <f aca="false">IF(AND(E6&gt;=0.75,J6&gt;=0.75),"Consolidado","PROVISÓRIO")</f>
        <v>Consolidado</v>
      </c>
      <c r="T6" s="1" t="n">
        <f aca="false">IF(L6="",-9,L6)-ROW()*0.000000001</f>
        <v>-0.0876623436623377</v>
      </c>
    </row>
    <row r="7" customFormat="false" ht="15" hidden="false" customHeight="true" outlineLevel="0" collapsed="false">
      <c r="A7" s="35" t="s">
        <v>47</v>
      </c>
      <c r="B7" s="53" t="n">
        <f aca="false">Painel!B6</f>
        <v>3</v>
      </c>
      <c r="C7" s="53" t="n">
        <f aca="false">Painel!C6</f>
        <v>10</v>
      </c>
      <c r="D7" s="53" t="n">
        <f aca="false">16-Painel!E6</f>
        <v>14</v>
      </c>
      <c r="E7" s="54" t="n">
        <f aca="false">D7/16</f>
        <v>0.875</v>
      </c>
      <c r="F7" s="55" t="n">
        <f aca="false">IF(D7=0,"",(B7-C7)/D7)</f>
        <v>-0.5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-0.295454545454545</v>
      </c>
      <c r="M7" s="46" t="n">
        <f aca="false">IF(L7="","",RANK(L7,$L$5:$L$17,0))</f>
        <v>8</v>
      </c>
      <c r="N7" s="49" t="str">
        <f aca="false">IF(AND(E7&gt;=0.75,J7&gt;=0.75),"Consolidado","PROVISÓRIO")</f>
        <v>Consolidado</v>
      </c>
      <c r="T7" s="1" t="n">
        <f aca="false">IF(L7="",-9,L7)-ROW()*0.000000001</f>
        <v>-0.295454552454546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3</v>
      </c>
      <c r="C8" s="53" t="n">
        <f aca="false">Painel!C7</f>
        <v>10</v>
      </c>
      <c r="D8" s="53" t="n">
        <f aca="false">16-Painel!E7</f>
        <v>14</v>
      </c>
      <c r="E8" s="54" t="n">
        <f aca="false">D8/16</f>
        <v>0.875</v>
      </c>
      <c r="F8" s="55" t="n">
        <f aca="false">IF(D8=0,"",(B8-C8)/D8)</f>
        <v>-0.5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-0.295454545454545</v>
      </c>
      <c r="M8" s="46" t="n">
        <f aca="false">IF(L8="","",RANK(L8,$L$5:$L$17,0))</f>
        <v>8</v>
      </c>
      <c r="N8" s="49" t="str">
        <f aca="false">IF(AND(E8&gt;=0.75,J8&gt;=0.75),"Consolidado","PROVISÓRIO")</f>
        <v>Consolidado</v>
      </c>
      <c r="T8" s="1" t="n">
        <f aca="false">IF(L8="",-9,L8)-ROW()*0.000000001</f>
        <v>-0.295454553454545</v>
      </c>
    </row>
    <row r="9" customFormat="false" ht="15" hidden="false" customHeight="true" outlineLevel="0" collapsed="false">
      <c r="A9" s="35" t="s">
        <v>49</v>
      </c>
      <c r="B9" s="53" t="n">
        <f aca="false">Painel!B8</f>
        <v>7</v>
      </c>
      <c r="C9" s="53" t="n">
        <f aca="false">Painel!C8</f>
        <v>6</v>
      </c>
      <c r="D9" s="53" t="n">
        <f aca="false">16-Painel!E8</f>
        <v>14</v>
      </c>
      <c r="E9" s="54" t="n">
        <f aca="false">D9/16</f>
        <v>0.875</v>
      </c>
      <c r="F9" s="55" t="n">
        <f aca="false">IF(D9=0,"",(B9-C9)/D9)</f>
        <v>0.0714285714285714</v>
      </c>
      <c r="G9" s="53" t="n">
        <f aca="false">Painel!G8</f>
        <v>5</v>
      </c>
      <c r="H9" s="53" t="n">
        <f aca="false">Painel!H8</f>
        <v>5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</v>
      </c>
      <c r="L9" s="56" t="n">
        <f aca="false">IF(F9="","",IF(K9="",F9,(F9+K9)/2))</f>
        <v>0.0357142857142857</v>
      </c>
      <c r="M9" s="46" t="n">
        <f aca="false">IF(L9="","",RANK(L9,$L$5:$L$17,0))</f>
        <v>2</v>
      </c>
      <c r="N9" s="49" t="str">
        <f aca="false">IF(AND(E9&gt;=0.75,J9&gt;=0.75),"Consolidado","PROVISÓRIO")</f>
        <v>Consolidado</v>
      </c>
      <c r="T9" s="1" t="n">
        <f aca="false">IF(L9="",-9,L9)-ROW()*0.000000001</f>
        <v>0.0357142767142857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3</v>
      </c>
      <c r="C10" s="53" t="n">
        <f aca="false">Painel!C9</f>
        <v>7</v>
      </c>
      <c r="D10" s="53" t="n">
        <f aca="false">16-Painel!E9</f>
        <v>14</v>
      </c>
      <c r="E10" s="54" t="n">
        <f aca="false">D10/16</f>
        <v>0.875</v>
      </c>
      <c r="F10" s="55" t="n">
        <f aca="false">IF(D10=0,"",(B10-C10)/D10)</f>
        <v>-0.285714285714286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-0.0974025974025974</v>
      </c>
      <c r="M10" s="46" t="n">
        <f aca="false">IF(L10="","",RANK(L10,$L$5:$L$17,0))</f>
        <v>5</v>
      </c>
      <c r="N10" s="49" t="str">
        <f aca="false">IF(AND(E10&gt;=0.75,J10&gt;=0.75),"Consolidado","PROVISÓRIO")</f>
        <v>Consolidado</v>
      </c>
      <c r="T10" s="1" t="n">
        <f aca="false">IF(L10="",-9,L10)-ROW()*0.000000001</f>
        <v>-0.0974026074025974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9</v>
      </c>
      <c r="D11" s="53" t="n">
        <f aca="false">16-Painel!E10</f>
        <v>14</v>
      </c>
      <c r="E11" s="54" t="n">
        <f aca="false">D11/16</f>
        <v>0.875</v>
      </c>
      <c r="F11" s="55" t="n">
        <f aca="false">IF(D11=0,"",(B11-C11)/D11)</f>
        <v>-0.5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-0.295454545454545</v>
      </c>
      <c r="M11" s="46" t="n">
        <f aca="false">IF(L11="","",RANK(L11,$L$5:$L$17,0))</f>
        <v>8</v>
      </c>
      <c r="N11" s="49" t="str">
        <f aca="false">IF(AND(E11&gt;=0.75,J11&gt;=0.75),"Consolidado","PROVISÓRIO")</f>
        <v>Consolidado</v>
      </c>
      <c r="T11" s="1" t="n">
        <f aca="false">IF(L11="",-9,L11)-ROW()*0.000000001</f>
        <v>-0.295454556454546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8</v>
      </c>
      <c r="D12" s="53" t="n">
        <f aca="false">16-Painel!E11</f>
        <v>14</v>
      </c>
      <c r="E12" s="54" t="n">
        <f aca="false">D12/16</f>
        <v>0.875</v>
      </c>
      <c r="F12" s="55" t="n">
        <f aca="false">IF(D12=0,"",(B12-C12)/D12)</f>
        <v>-0.428571428571429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-0.0779220779220779</v>
      </c>
      <c r="M12" s="46" t="n">
        <f aca="false">IF(L12="","",RANK(L12,$L$5:$L$17,0))</f>
        <v>3</v>
      </c>
      <c r="N12" s="49" t="str">
        <f aca="false">IF(AND(E12&gt;=0.75,J12&gt;=0.75),"Consolidado","PROVISÓRIO")</f>
        <v>Consolidado</v>
      </c>
      <c r="T12" s="1" t="n">
        <f aca="false">IF(L12="",-9,L12)-ROW()*0.000000001</f>
        <v>-0.0779220899220779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4</v>
      </c>
      <c r="C13" s="53" t="n">
        <f aca="false">Painel!C12</f>
        <v>8</v>
      </c>
      <c r="D13" s="53" t="n">
        <f aca="false">16-Painel!E12</f>
        <v>14</v>
      </c>
      <c r="E13" s="54" t="n">
        <f aca="false">D13/16</f>
        <v>0.875</v>
      </c>
      <c r="F13" s="55" t="n">
        <f aca="false">IF(D13=0,"",(B13-C13)/D13)</f>
        <v>-0.285714285714286</v>
      </c>
      <c r="G13" s="53" t="n">
        <f aca="false">Painel!G12</f>
        <v>4</v>
      </c>
      <c r="H13" s="53" t="n">
        <f aca="false">Painel!H12</f>
        <v>4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</v>
      </c>
      <c r="L13" s="56" t="n">
        <f aca="false">IF(F13="","",IF(K13="",F13,(F13+K13)/2))</f>
        <v>-0.142857142857143</v>
      </c>
      <c r="M13" s="46" t="n">
        <f aca="false">IF(L13="","",RANK(L13,$L$5:$L$17,0))</f>
        <v>6</v>
      </c>
      <c r="N13" s="49" t="str">
        <f aca="false">IF(AND(E13&gt;=0.75,J13&gt;=0.75),"Consolidado","PROVISÓRIO")</f>
        <v>Consolidado</v>
      </c>
      <c r="T13" s="1" t="n">
        <f aca="false">IF(L13="",-9,L13)-ROW()*0.000000001</f>
        <v>-0.142857155857143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11</v>
      </c>
      <c r="D14" s="53" t="n">
        <f aca="false">16-Painel!E13</f>
        <v>14</v>
      </c>
      <c r="E14" s="54" t="n">
        <f aca="false">D14/16</f>
        <v>0.875</v>
      </c>
      <c r="F14" s="55" t="n">
        <f aca="false">IF(D14=0,"",(B14-C14)/D14)</f>
        <v>-0.714285714285714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-0.357142857142857</v>
      </c>
      <c r="M14" s="46" t="n">
        <f aca="false">IF(L14="","",RANK(L14,$L$5:$L$17,0))</f>
        <v>13</v>
      </c>
      <c r="N14" s="49" t="str">
        <f aca="false">IF(AND(E14&gt;=0.75,J14&gt;=0.75),"Consolidado","PROVISÓRIO")</f>
        <v>Consolidado</v>
      </c>
      <c r="T14" s="1" t="n">
        <f aca="false">IF(L14="",-9,L14)-ROW()*0.000000001</f>
        <v>-0.357142871142857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3</v>
      </c>
      <c r="C15" s="53" t="n">
        <f aca="false">Painel!C14</f>
        <v>9</v>
      </c>
      <c r="D15" s="53" t="n">
        <f aca="false">16-Painel!E14</f>
        <v>14</v>
      </c>
      <c r="E15" s="54" t="n">
        <f aca="false">D15/16</f>
        <v>0.875</v>
      </c>
      <c r="F15" s="55" t="n">
        <f aca="false">IF(D15=0,"",(B15-C15)/D15)</f>
        <v>-0.428571428571429</v>
      </c>
      <c r="G15" s="53" t="n">
        <f aca="false">Painel!G14</f>
        <v>3</v>
      </c>
      <c r="H15" s="53" t="n">
        <f aca="false">Painel!H14</f>
        <v>4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-0.0909090909090909</v>
      </c>
      <c r="L15" s="56" t="n">
        <f aca="false">IF(F15="","",IF(K15="",F15,(F15+K15)/2))</f>
        <v>-0.25974025974026</v>
      </c>
      <c r="M15" s="46" t="n">
        <f aca="false">IF(L15="","",RANK(L15,$L$5:$L$17,0))</f>
        <v>7</v>
      </c>
      <c r="N15" s="49" t="str">
        <f aca="false">IF(AND(E15&gt;=0.75,J15&gt;=0.75),"Consolidado","PROVISÓRIO")</f>
        <v>Consolidado</v>
      </c>
      <c r="T15" s="1" t="n">
        <f aca="false">IF(L15="",-9,L15)-ROW()*0.000000001</f>
        <v>-0.25974027474026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4</v>
      </c>
      <c r="C16" s="53" t="n">
        <f aca="false">Painel!C15</f>
        <v>3</v>
      </c>
      <c r="D16" s="53" t="n">
        <f aca="false">16-Painel!E15</f>
        <v>14</v>
      </c>
      <c r="E16" s="54" t="n">
        <f aca="false">D16/16</f>
        <v>0.875</v>
      </c>
      <c r="F16" s="55" t="n">
        <f aca="false">IF(D16=0,"",(B16-C16)/D16)</f>
        <v>0.0714285714285714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0.126623376623377</v>
      </c>
      <c r="M16" s="46" t="n">
        <f aca="false">IF(L16="","",RANK(L16,$L$5:$L$17,0))</f>
        <v>1</v>
      </c>
      <c r="N16" s="49" t="str">
        <f aca="false">IF(AND(E16&gt;=0.75,J16&gt;=0.75),"Consolidado","PROVISÓRIO")</f>
        <v>Consolidado</v>
      </c>
      <c r="T16" s="1" t="n">
        <f aca="false">IF(L16="",-9,L16)-ROW()*0.000000001</f>
        <v>0.126623360623377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2</v>
      </c>
      <c r="C17" s="53" t="n">
        <f aca="false">Painel!C16</f>
        <v>11</v>
      </c>
      <c r="D17" s="53" t="n">
        <f aca="false">16-Painel!E16</f>
        <v>14</v>
      </c>
      <c r="E17" s="54" t="n">
        <f aca="false">D17/16</f>
        <v>0.875</v>
      </c>
      <c r="F17" s="55" t="n">
        <f aca="false">IF(D17=0,"",(B17-C17)/D17)</f>
        <v>-0.642857142857143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-0.321428571428571</v>
      </c>
      <c r="M17" s="46" t="n">
        <f aca="false">IF(L17="","",RANK(L17,$L$5:$L$17,0))</f>
        <v>12</v>
      </c>
      <c r="N17" s="49" t="str">
        <f aca="false">IF(AND(E17&gt;=0.75,J17&gt;=0.75),"Consolidado","PROVISÓRIO")</f>
        <v>Consolidado</v>
      </c>
      <c r="T17" s="1" t="n">
        <f aca="false">IF(L17="",-9,L17)-ROW()*0.000000001</f>
        <v>-0.321428588428571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Rondonópolis</v>
      </c>
      <c r="C22" s="55" t="n">
        <f aca="false">INDEX($L$5:$L$17,MATCH(LARGE($T$5:$T$17,1),$T$5:$T$17,0))</f>
        <v>0.126623376623377</v>
      </c>
      <c r="D22" s="54" t="n">
        <f aca="false">INDEX($E$5:$E$17,MATCH(LARGE($T$5:$T$17,1),$T$5:$T$17,0))</f>
        <v>0.875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Consolidado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Itiquira</v>
      </c>
      <c r="C23" s="55" t="n">
        <f aca="false">INDEX($L$5:$L$17,MATCH(LARGE($T$5:$T$17,2),$T$5:$T$17,0))</f>
        <v>0.0357142857142857</v>
      </c>
      <c r="D23" s="54" t="n">
        <f aca="false">INDEX($E$5:$E$17,MATCH(LARGE($T$5:$T$17,2),$T$5:$T$17,0))</f>
        <v>0.875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Consolidado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-0.0779220779220779</v>
      </c>
      <c r="D24" s="54" t="n">
        <f aca="false">INDEX($E$5:$E$17,MATCH(LARGE($T$5:$T$17,3),$T$5:$T$17,0))</f>
        <v>0.875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Consolidado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Cáceres</v>
      </c>
      <c r="C25" s="55" t="n">
        <f aca="false">INDEX($L$5:$L$17,MATCH(LARGE($T$5:$T$17,4),$T$5:$T$17,0))</f>
        <v>-0.0876623376623377</v>
      </c>
      <c r="D25" s="54" t="n">
        <f aca="false">INDEX($E$5:$E$17,MATCH(LARGE($T$5:$T$17,4),$T$5:$T$17,0))</f>
        <v>0.875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Consolidado</v>
      </c>
    </row>
    <row r="26" customFormat="false" ht="23.25" hidden="false" customHeight="true" outlineLevel="0" collapsed="false">
      <c r="A26" s="46" t="n">
        <f aca="false">INDEX($M$5:$M$17,MATCH(LARGE($T$5:$T$17,5),$T$5:$T$17,0))</f>
        <v>5</v>
      </c>
      <c r="B26" s="38" t="str">
        <f aca="false">INDEX($A$5:$A$17,MATCH(LARGE($T$5:$T$17,5),$T$5:$T$17,0))</f>
        <v>Juscimeira</v>
      </c>
      <c r="C26" s="55" t="n">
        <f aca="false">INDEX($L$5:$L$17,MATCH(LARGE($T$5:$T$17,5),$T$5:$T$17,0))</f>
        <v>-0.0974025974025974</v>
      </c>
      <c r="D26" s="54" t="n">
        <f aca="false">INDEX($E$5:$E$17,MATCH(LARGE($T$5:$T$17,5),$T$5:$T$17,0))</f>
        <v>0.875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Consolidado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Nossa Senhora do Livramento</v>
      </c>
      <c r="C27" s="55" t="n">
        <f aca="false">INDEX($L$5:$L$17,MATCH(LARGE($T$5:$T$17,6),$T$5:$T$17,0))</f>
        <v>-0.142857142857143</v>
      </c>
      <c r="D27" s="54" t="n">
        <f aca="false">INDEX($E$5:$E$17,MATCH(LARGE($T$5:$T$17,6),$T$5:$T$17,0))</f>
        <v>0.875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Consolidado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-0.25974025974026</v>
      </c>
      <c r="D28" s="54" t="n">
        <f aca="false">INDEX($E$5:$E$17,MATCH(LARGE($T$5:$T$17,7),$T$5:$T$17,0))</f>
        <v>0.875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Consolidado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-0.295454545454545</v>
      </c>
      <c r="D29" s="54" t="n">
        <f aca="false">INDEX($E$5:$E$17,MATCH(LARGE($T$5:$T$17,8),$T$5:$T$17,0))</f>
        <v>0.875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Consolidado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-0.295454545454545</v>
      </c>
      <c r="D30" s="54" t="n">
        <f aca="false">INDEX($E$5:$E$17,MATCH(LARGE($T$5:$T$17,9),$T$5:$T$17,0))</f>
        <v>0.875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Consolidado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-0.295454545454545</v>
      </c>
      <c r="D31" s="54" t="n">
        <f aca="false">INDEX($E$5:$E$17,MATCH(LARGE($T$5:$T$17,10),$T$5:$T$17,0))</f>
        <v>0.875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Consolidado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-0.295454545454545</v>
      </c>
      <c r="D32" s="54" t="n">
        <f aca="false">INDEX($E$5:$E$17,MATCH(LARGE($T$5:$T$17,11),$T$5:$T$17,0))</f>
        <v>0.875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Consolidado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Santo Antônio do Leverger</v>
      </c>
      <c r="C33" s="55" t="n">
        <f aca="false">INDEX($L$5:$L$17,MATCH(LARGE($T$5:$T$17,12),$T$5:$T$17,0))</f>
        <v>-0.321428571428571</v>
      </c>
      <c r="D33" s="54" t="n">
        <f aca="false">INDEX($E$5:$E$17,MATCH(LARGE($T$5:$T$17,12),$T$5:$T$17,0))</f>
        <v>0.875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Consolidado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Poconé</v>
      </c>
      <c r="C34" s="55" t="n">
        <f aca="false">INDEX($L$5:$L$17,MATCH(LARGE($T$5:$T$17,13),$T$5:$T$17,0))</f>
        <v>-0.357142857142857</v>
      </c>
      <c r="D34" s="54" t="n">
        <f aca="false">INDEX($E$5:$E$17,MATCH(LARGE($T$5:$T$17,13),$T$5:$T$17,0))</f>
        <v>0.875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Consolidado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25" hidden="false" customHeight="tru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  <row r="23" customFormat="false" ht="15" hidden="false" customHeight="true" outlineLevel="0" collapsed="false">
      <c r="A23" s="61" t="s">
        <v>168</v>
      </c>
    </row>
    <row r="24" customFormat="false" ht="15" hidden="false" customHeight="tru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169</v>
      </c>
      <c r="B25" s="58" t="s">
        <v>170</v>
      </c>
      <c r="C25" s="58" t="s">
        <v>171</v>
      </c>
      <c r="D25" s="58" t="s">
        <v>172</v>
      </c>
      <c r="E25" s="58" t="s">
        <v>173</v>
      </c>
    </row>
    <row r="26" customFormat="false" ht="63.75" hidden="false" customHeight="true" outlineLevel="0" collapsed="false">
      <c r="A26" s="58" t="s">
        <v>174</v>
      </c>
      <c r="B26" s="58" t="s">
        <v>175</v>
      </c>
      <c r="C26" s="58" t="s">
        <v>176</v>
      </c>
      <c r="D26" s="58" t="s">
        <v>177</v>
      </c>
      <c r="E26" s="58" t="s">
        <v>178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179</v>
      </c>
      <c r="D27" s="58" t="s">
        <v>180</v>
      </c>
      <c r="E27" s="58" t="s">
        <v>181</v>
      </c>
    </row>
    <row r="28" customFormat="false" ht="63.75" hidden="false" customHeight="true" outlineLevel="0" collapsed="false">
      <c r="A28" s="58" t="s">
        <v>182</v>
      </c>
      <c r="B28" s="58" t="s">
        <v>183</v>
      </c>
      <c r="C28" s="58" t="s">
        <v>184</v>
      </c>
      <c r="D28" s="58" t="s">
        <v>185</v>
      </c>
      <c r="E28" s="58" t="s">
        <v>186</v>
      </c>
    </row>
    <row r="29" customFormat="false" ht="63.75" hidden="false" customHeight="true" outlineLevel="0" collapsed="false">
      <c r="A29" s="58" t="s">
        <v>187</v>
      </c>
      <c r="B29" s="58" t="s">
        <v>175</v>
      </c>
      <c r="C29" s="58" t="s">
        <v>188</v>
      </c>
      <c r="D29" s="58" t="s">
        <v>189</v>
      </c>
      <c r="E29" s="58" t="s">
        <v>190</v>
      </c>
    </row>
    <row r="30" customFormat="false" ht="63.75" hidden="false" customHeight="true" outlineLevel="0" collapsed="false">
      <c r="A30" s="58" t="s">
        <v>191</v>
      </c>
      <c r="B30" s="58" t="s">
        <v>170</v>
      </c>
      <c r="C30" s="58" t="s">
        <v>188</v>
      </c>
      <c r="D30" s="58" t="s">
        <v>192</v>
      </c>
      <c r="E30" s="58" t="s">
        <v>193</v>
      </c>
    </row>
    <row r="31" customFormat="false" ht="63.75" hidden="false" customHeight="true" outlineLevel="0" collapsed="false">
      <c r="A31" s="58" t="s">
        <v>194</v>
      </c>
      <c r="B31" s="58" t="s">
        <v>175</v>
      </c>
      <c r="C31" s="58" t="s">
        <v>188</v>
      </c>
      <c r="D31" s="58" t="s">
        <v>195</v>
      </c>
      <c r="E31" s="58"/>
    </row>
    <row r="32" customFormat="false" ht="63.75" hidden="false" customHeight="true" outlineLevel="0" collapsed="false">
      <c r="A32" s="58" t="s">
        <v>158</v>
      </c>
      <c r="B32" s="58" t="s">
        <v>134</v>
      </c>
      <c r="C32" s="58" t="s">
        <v>196</v>
      </c>
      <c r="D32" s="58" t="s">
        <v>197</v>
      </c>
      <c r="E32" s="58" t="s">
        <v>198</v>
      </c>
    </row>
    <row r="33" customFormat="false" ht="63.75" hidden="false" customHeight="true" outlineLevel="0" collapsed="false">
      <c r="A33" s="58" t="s">
        <v>199</v>
      </c>
      <c r="B33" s="58" t="s">
        <v>170</v>
      </c>
      <c r="C33" s="58" t="s">
        <v>200</v>
      </c>
      <c r="D33" s="58" t="s">
        <v>201</v>
      </c>
      <c r="E33" s="58"/>
    </row>
    <row r="34" customFormat="false" ht="63.75" hidden="false" customHeight="true" outlineLevel="0" collapsed="false">
      <c r="A34" s="58" t="s">
        <v>202</v>
      </c>
      <c r="B34" s="58" t="s">
        <v>170</v>
      </c>
      <c r="C34" s="58" t="s">
        <v>188</v>
      </c>
      <c r="D34" s="58" t="s">
        <v>203</v>
      </c>
      <c r="E34" s="58" t="s">
        <v>204</v>
      </c>
    </row>
    <row r="35" customFormat="false" ht="63.75" hidden="false" customHeight="true" outlineLevel="0" collapsed="false">
      <c r="A35" s="58" t="s">
        <v>205</v>
      </c>
      <c r="B35" s="58" t="s">
        <v>206</v>
      </c>
      <c r="C35" s="58" t="s">
        <v>207</v>
      </c>
      <c r="D35" s="58" t="s">
        <v>208</v>
      </c>
      <c r="E35" s="58" t="s">
        <v>209</v>
      </c>
    </row>
    <row r="36" customFormat="false" ht="63.75" hidden="false" customHeight="true" outlineLevel="0" collapsed="false">
      <c r="A36" s="58" t="s">
        <v>160</v>
      </c>
      <c r="B36" s="58" t="s">
        <v>210</v>
      </c>
      <c r="C36" s="58" t="s">
        <v>211</v>
      </c>
      <c r="D36" s="58" t="s">
        <v>212</v>
      </c>
      <c r="E36" s="58" t="s">
        <v>213</v>
      </c>
    </row>
    <row r="37" customFormat="false" ht="63.75" hidden="false" customHeight="true" outlineLevel="0" collapsed="false">
      <c r="A37" s="58" t="s">
        <v>214</v>
      </c>
      <c r="B37" s="58" t="s">
        <v>215</v>
      </c>
      <c r="C37" s="58" t="s">
        <v>216</v>
      </c>
      <c r="D37" s="58" t="s">
        <v>217</v>
      </c>
      <c r="E37" s="58" t="s">
        <v>218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219</v>
      </c>
    </row>
    <row r="3" customFormat="false" ht="15" hidden="false" customHeight="true" outlineLevel="0" collapsed="false">
      <c r="A3" s="40" t="s">
        <v>220</v>
      </c>
      <c r="B3" s="63" t="n">
        <v>0.1</v>
      </c>
      <c r="C3" s="33" t="s">
        <v>221</v>
      </c>
    </row>
    <row r="4" customFormat="false" ht="15" hidden="false" customHeight="true" outlineLevel="0" collapsed="false">
      <c r="A4" s="40" t="s">
        <v>222</v>
      </c>
      <c r="B4" s="64" t="n">
        <v>2</v>
      </c>
    </row>
    <row r="5" customFormat="false" ht="15" hidden="false" customHeight="true" outlineLevel="0" collapsed="false">
      <c r="A5" s="40" t="s">
        <v>223</v>
      </c>
      <c r="B5" s="65" t="n">
        <v>2</v>
      </c>
      <c r="C5" s="33" t="s">
        <v>224</v>
      </c>
    </row>
    <row r="8" customFormat="false" ht="15" hidden="false" customHeight="true" outlineLevel="0" collapsed="false">
      <c r="A8" s="6" t="s">
        <v>225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226</v>
      </c>
    </row>
    <row r="2" customFormat="false" ht="15" hidden="false" customHeight="true" outlineLevel="0" collapsed="false">
      <c r="A2" s="3" t="s">
        <v>227</v>
      </c>
    </row>
    <row r="4" customFormat="false" ht="31.5" hidden="false" customHeight="true" outlineLevel="0" collapsed="false">
      <c r="A4" s="66" t="s">
        <v>59</v>
      </c>
      <c r="B4" s="66" t="s">
        <v>228</v>
      </c>
      <c r="C4" s="66" t="s">
        <v>60</v>
      </c>
      <c r="D4" s="66" t="s">
        <v>229</v>
      </c>
      <c r="E4" s="66" t="s">
        <v>230</v>
      </c>
      <c r="F4" s="66" t="s">
        <v>231</v>
      </c>
      <c r="G4" s="66" t="s">
        <v>232</v>
      </c>
      <c r="H4" s="66" t="s">
        <v>233</v>
      </c>
      <c r="I4" s="66" t="s">
        <v>234</v>
      </c>
      <c r="J4" s="66" t="s">
        <v>235</v>
      </c>
      <c r="K4" s="66" t="s">
        <v>236</v>
      </c>
      <c r="L4" s="66" t="s">
        <v>237</v>
      </c>
      <c r="M4" s="66" t="s">
        <v>238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239</v>
      </c>
      <c r="O5" s="67" t="s">
        <v>102</v>
      </c>
      <c r="P5" s="67" t="s">
        <v>239</v>
      </c>
      <c r="Q5" s="67" t="s">
        <v>102</v>
      </c>
      <c r="R5" s="67" t="s">
        <v>239</v>
      </c>
      <c r="S5" s="67" t="s">
        <v>102</v>
      </c>
      <c r="T5" s="67" t="s">
        <v>239</v>
      </c>
      <c r="U5" s="67" t="s">
        <v>102</v>
      </c>
      <c r="V5" s="67" t="s">
        <v>239</v>
      </c>
      <c r="W5" s="67" t="s">
        <v>102</v>
      </c>
      <c r="X5" s="67" t="s">
        <v>239</v>
      </c>
      <c r="Y5" s="67" t="s">
        <v>102</v>
      </c>
      <c r="Z5" s="67" t="s">
        <v>239</v>
      </c>
      <c r="AA5" s="67" t="s">
        <v>102</v>
      </c>
      <c r="AB5" s="67" t="s">
        <v>239</v>
      </c>
      <c r="AC5" s="67" t="s">
        <v>102</v>
      </c>
      <c r="AD5" s="67" t="s">
        <v>239</v>
      </c>
      <c r="AE5" s="67" t="s">
        <v>102</v>
      </c>
      <c r="AF5" s="67" t="s">
        <v>239</v>
      </c>
      <c r="AG5" s="67" t="s">
        <v>102</v>
      </c>
      <c r="AH5" s="67" t="s">
        <v>239</v>
      </c>
      <c r="AI5" s="67" t="s">
        <v>102</v>
      </c>
      <c r="AJ5" s="67" t="s">
        <v>239</v>
      </c>
      <c r="AK5" s="67" t="s">
        <v>102</v>
      </c>
      <c r="AL5" s="67" t="s">
        <v>239</v>
      </c>
      <c r="AM5" s="67" t="s">
        <v>102</v>
      </c>
    </row>
    <row r="6" customFormat="false" ht="23.25" hidden="false" customHeight="true" outlineLevel="0" collapsed="false">
      <c r="A6" s="68" t="s">
        <v>240</v>
      </c>
      <c r="B6" s="69" t="s">
        <v>74</v>
      </c>
      <c r="C6" s="69" t="s">
        <v>241</v>
      </c>
      <c r="D6" s="68" t="s">
        <v>242</v>
      </c>
      <c r="E6" s="70" t="s">
        <v>243</v>
      </c>
      <c r="F6" s="69" t="s">
        <v>244</v>
      </c>
      <c r="G6" s="70" t="n">
        <v>2021</v>
      </c>
      <c r="H6" s="70" t="s">
        <v>245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169</v>
      </c>
      <c r="B7" s="69" t="s">
        <v>74</v>
      </c>
      <c r="C7" s="69" t="s">
        <v>246</v>
      </c>
      <c r="D7" s="68" t="s">
        <v>247</v>
      </c>
      <c r="E7" s="70" t="s">
        <v>243</v>
      </c>
      <c r="F7" s="69" t="s">
        <v>248</v>
      </c>
      <c r="G7" s="70" t="n">
        <v>2024</v>
      </c>
      <c r="H7" s="70" t="s">
        <v>249</v>
      </c>
      <c r="I7" s="71" t="n">
        <v>5602.9</v>
      </c>
      <c r="J7" s="71"/>
      <c r="K7" s="71"/>
      <c r="L7" s="72" t="n">
        <f aca="false">IF($H7="Absoluto",IF($J7="","",$J7),IF($I7="","",IF($H7="Razão MT",MIN($I7*(1-Parâmetros!$B$3),$I7*(1+Parâmetros!$B$3)),$I7-Parâmetros!$B$4)))</f>
        <v>5042.61</v>
      </c>
      <c r="M7" s="72" t="n">
        <f aca="false">IF($H7="Absoluto",IF($K7="","",$K7),IF($I7="","",IF($H7="Razão MT",MAX($I7*(1-Parâmetros!$B$3),$I7*(1+Parâmetros!$B$3)),$I7+Parâmetros!$B$4)))</f>
        <v>6163.19</v>
      </c>
      <c r="N7" s="71" t="n">
        <v>19926.55</v>
      </c>
      <c r="O7" s="74" t="str">
        <f aca="false">IF(OR(N7="",$L7="",$M7=""),"",IF($E7="+",IF(N7&gt;$M7,"Força",IF(N7&lt;$L7,"Fraqueza","Neutro")),IF(N7&lt;$L7,"Força",IF(N7&gt;$M7,"Fraqueza","Neutro"))))</f>
        <v>Força</v>
      </c>
      <c r="P7" s="71" t="n">
        <v>5729.32</v>
      </c>
      <c r="Q7" s="74" t="str">
        <f aca="false">IF(OR(P7="",$L7="",$M7=""),"",IF($E7="+",IF(P7&gt;$M7,"Força",IF(P7&lt;$L7,"Fraqueza","Neutro")),IF(P7&lt;$L7,"Força",IF(P7&gt;$M7,"Fraqueza","Neutro"))))</f>
        <v>Neutro</v>
      </c>
      <c r="R7" s="71" t="n">
        <v>10834.24</v>
      </c>
      <c r="S7" s="74" t="str">
        <f aca="false">IF(OR(R7="",$L7="",$M7=""),"",IF($E7="+",IF(R7&gt;$M7,"Força",IF(R7&lt;$L7,"Fraqueza","Neutro")),IF(R7&lt;$L7,"Força",IF(R7&gt;$M7,"Fraqueza","Neutro"))))</f>
        <v>Força</v>
      </c>
      <c r="T7" s="71" t="n">
        <v>10020.12</v>
      </c>
      <c r="U7" s="74" t="str">
        <f aca="false">IF(OR(T7="",$L7="",$M7=""),"",IF($E7="+",IF(T7&gt;$M7,"Força",IF(T7&lt;$L7,"Fraqueza","Neutro")),IF(T7&lt;$L7,"Força",IF(T7&gt;$M7,"Fraqueza","Neutro"))))</f>
        <v>Força</v>
      </c>
      <c r="V7" s="71" t="n">
        <v>5402.93</v>
      </c>
      <c r="W7" s="74" t="str">
        <f aca="false">IF(OR(V7="",$L7="",$M7=""),"",IF($E7="+",IF(V7&gt;$M7,"Força",IF(V7&lt;$L7,"Fraqueza","Neutro")),IF(V7&lt;$L7,"Força",IF(V7&gt;$M7,"Fraqueza","Neutro"))))</f>
        <v>Neutro</v>
      </c>
      <c r="X7" s="71" t="n">
        <v>5889.67</v>
      </c>
      <c r="Y7" s="74" t="str">
        <f aca="false">IF(OR(X7="",$L7="",$M7=""),"",IF($E7="+",IF(X7&gt;$M7,"Força",IF(X7&lt;$L7,"Fraqueza","Neutro")),IF(X7&lt;$L7,"Força",IF(X7&gt;$M7,"Fraqueza","Neutro"))))</f>
        <v>Neutro</v>
      </c>
      <c r="Z7" s="71" t="n">
        <v>9903.13</v>
      </c>
      <c r="AA7" s="74" t="str">
        <f aca="false">IF(OR(Z7="",$L7="",$M7=""),"",IF($E7="+",IF(Z7&gt;$M7,"Força",IF(Z7&lt;$L7,"Fraqueza","Neutro")),IF(Z7&lt;$L7,"Força",IF(Z7&gt;$M7,"Fraqueza","Neutro"))))</f>
        <v>Força</v>
      </c>
      <c r="AB7" s="71" t="n">
        <v>10166.09</v>
      </c>
      <c r="AC7" s="74" t="str">
        <f aca="false">IF(OR(AB7="",$L7="",$M7=""),"",IF($E7="+",IF(AB7&gt;$M7,"Força",IF(AB7&lt;$L7,"Fraqueza","Neutro")),IF(AB7&lt;$L7,"Força",IF(AB7&gt;$M7,"Fraqueza","Neutro"))))</f>
        <v>Força</v>
      </c>
      <c r="AD7" s="71" t="n">
        <v>5734.66</v>
      </c>
      <c r="AE7" s="74" t="str">
        <f aca="false">IF(OR(AD7="",$L7="",$M7=""),"",IF($E7="+",IF(AD7&gt;$M7,"Força",IF(AD7&lt;$L7,"Fraqueza","Neutro")),IF(AD7&lt;$L7,"Força",IF(AD7&gt;$M7,"Fraqueza","Neutro"))))</f>
        <v>Neutro</v>
      </c>
      <c r="AF7" s="71" t="n">
        <v>5045</v>
      </c>
      <c r="AG7" s="74" t="str">
        <f aca="false">IF(OR(AF7="",$L7="",$M7=""),"",IF($E7="+",IF(AF7&gt;$M7,"Força",IF(AF7&lt;$L7,"Fraqueza","Neutro")),IF(AF7&lt;$L7,"Força",IF(AF7&gt;$M7,"Fraqueza","Neutro"))))</f>
        <v>Neutro</v>
      </c>
      <c r="AH7" s="71" t="n">
        <v>6552.04</v>
      </c>
      <c r="AI7" s="74" t="str">
        <f aca="false">IF(OR(AH7="",$L7="",$M7=""),"",IF($E7="+",IF(AH7&gt;$M7,"Força",IF(AH7&lt;$L7,"Fraqueza","Neutro")),IF(AH7&lt;$L7,"Força",IF(AH7&gt;$M7,"Fraqueza","Neutro"))))</f>
        <v>Força</v>
      </c>
      <c r="AJ7" s="71" t="n">
        <v>5354.94</v>
      </c>
      <c r="AK7" s="74" t="str">
        <f aca="false">IF(OR(AJ7="",$L7="",$M7=""),"",IF($E7="+",IF(AJ7&gt;$M7,"Força",IF(AJ7&lt;$L7,"Fraqueza","Neutro")),IF(AJ7&lt;$L7,"Força",IF(AJ7&gt;$M7,"Fraqueza","Neutro"))))</f>
        <v>Neutro</v>
      </c>
      <c r="AL7" s="71" t="n">
        <v>4958.82</v>
      </c>
      <c r="AM7" s="74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8" t="s">
        <v>174</v>
      </c>
      <c r="B8" s="69" t="s">
        <v>74</v>
      </c>
      <c r="C8" s="69" t="s">
        <v>250</v>
      </c>
      <c r="D8" s="68" t="s">
        <v>251</v>
      </c>
      <c r="E8" s="70" t="s">
        <v>243</v>
      </c>
      <c r="F8" s="69" t="s">
        <v>252</v>
      </c>
      <c r="G8" s="70" t="n">
        <v>2024</v>
      </c>
      <c r="H8" s="70" t="s">
        <v>253</v>
      </c>
      <c r="I8" s="71" t="n">
        <v>3.79</v>
      </c>
      <c r="J8" s="71"/>
      <c r="K8" s="71"/>
      <c r="L8" s="72" t="n">
        <f aca="false">IF($H8="Absoluto",IF($J8="","",$J8),IF($I8="","",IF($H8="Razão MT",MIN($I8*(1-Parâmetros!$B$3),$I8*(1+Parâmetros!$B$3)),$I8-Parâmetros!$B$4)))</f>
        <v>1.79</v>
      </c>
      <c r="M8" s="72" t="n">
        <f aca="false">IF($H8="Absoluto",IF($K8="","",$K8),IF($I8="","",IF($H8="Razão MT",MAX($I8*(1-Parâmetros!$B$3),$I8*(1+Parâmetros!$B$3)),$I8+Parâmetros!$B$4)))</f>
        <v>5.79</v>
      </c>
      <c r="N8" s="71" t="n">
        <v>16.6</v>
      </c>
      <c r="O8" s="74" t="str">
        <f aca="false">IF(OR(N8="",$L8="",$M8=""),"",IF($E8="+",IF(N8&gt;$M8,"Força",IF(N8&lt;$L8,"Fraqueza","Neutro")),IF(N8&lt;$L8,"Força",IF(N8&gt;$M8,"Fraqueza","Neutro"))))</f>
        <v>Força</v>
      </c>
      <c r="P8" s="71" t="n">
        <v>22.65</v>
      </c>
      <c r="Q8" s="74" t="str">
        <f aca="false">IF(OR(P8="",$L8="",$M8=""),"",IF($E8="+",IF(P8&gt;$M8,"Força",IF(P8&lt;$L8,"Fraqueza","Neutro")),IF(P8&lt;$L8,"Força",IF(P8&gt;$M8,"Fraqueza","Neutro"))))</f>
        <v>Força</v>
      </c>
      <c r="R8" s="71" t="n">
        <v>2.73</v>
      </c>
      <c r="S8" s="74" t="str">
        <f aca="false">IF(OR(R8="",$L8="",$M8=""),"",IF($E8="+",IF(R8&gt;$M8,"Força",IF(R8&lt;$L8,"Fraqueza","Neutro")),IF(R8&lt;$L8,"Força",IF(R8&gt;$M8,"Fraqueza","Neutro"))))</f>
        <v>Neutro</v>
      </c>
      <c r="T8" s="71" t="n">
        <v>2.27</v>
      </c>
      <c r="U8" s="74" t="str">
        <f aca="false">IF(OR(T8="",$L8="",$M8=""),"",IF($E8="+",IF(T8&gt;$M8,"Força",IF(T8&lt;$L8,"Fraqueza","Neutro")),IF(T8&lt;$L8,"Força",IF(T8&gt;$M8,"Fraqueza","Neutro"))))</f>
        <v>Neutro</v>
      </c>
      <c r="V8" s="71" t="n">
        <v>26.4</v>
      </c>
      <c r="W8" s="74" t="str">
        <f aca="false">IF(OR(V8="",$L8="",$M8=""),"",IF($E8="+",IF(V8&gt;$M8,"Força",IF(V8&lt;$L8,"Fraqueza","Neutro")),IF(V8&lt;$L8,"Força",IF(V8&gt;$M8,"Fraqueza","Neutro"))))</f>
        <v>Força</v>
      </c>
      <c r="X8" s="71" t="n">
        <v>1.8</v>
      </c>
      <c r="Y8" s="74" t="str">
        <f aca="false">IF(OR(X8="",$L8="",$M8=""),"",IF($E8="+",IF(X8&gt;$M8,"Força",IF(X8&lt;$L8,"Fraqueza","Neutro")),IF(X8&lt;$L8,"Força",IF(X8&gt;$M8,"Fraqueza","Neutro"))))</f>
        <v>Neutro</v>
      </c>
      <c r="Z8" s="71" t="n">
        <v>-2.74</v>
      </c>
      <c r="AA8" s="74" t="str">
        <f aca="false">IF(OR(Z8="",$L8="",$M8=""),"",IF($E8="+",IF(Z8&gt;$M8,"Força",IF(Z8&lt;$L8,"Fraqueza","Neutro")),IF(Z8&lt;$L8,"Força",IF(Z8&gt;$M8,"Fraqueza","Neutro"))))</f>
        <v>Fraqueza</v>
      </c>
      <c r="AB8" s="71" t="n">
        <v>-2.58</v>
      </c>
      <c r="AC8" s="74" t="str">
        <f aca="false">IF(OR(AB8="",$L8="",$M8=""),"",IF($E8="+",IF(AB8&gt;$M8,"Força",IF(AB8&lt;$L8,"Fraqueza","Neutro")),IF(AB8&lt;$L8,"Força",IF(AB8&gt;$M8,"Fraqueza","Neutro"))))</f>
        <v>Fraqueza</v>
      </c>
      <c r="AD8" s="71" t="n">
        <v>23.81</v>
      </c>
      <c r="AE8" s="74" t="str">
        <f aca="false">IF(OR(AD8="",$L8="",$M8=""),"",IF($E8="+",IF(AD8&gt;$M8,"Força",IF(AD8&lt;$L8,"Fraqueza","Neutro")),IF(AD8&lt;$L8,"Força",IF(AD8&gt;$M8,"Fraqueza","Neutro"))))</f>
        <v>Força</v>
      </c>
      <c r="AF8" s="71" t="n">
        <v>16.79</v>
      </c>
      <c r="AG8" s="74" t="str">
        <f aca="false">IF(OR(AF8="",$L8="",$M8=""),"",IF($E8="+",IF(AF8&gt;$M8,"Força",IF(AF8&lt;$L8,"Fraqueza","Neutro")),IF(AF8&lt;$L8,"Força",IF(AF8&gt;$M8,"Fraqueza","Neutro"))))</f>
        <v>Força</v>
      </c>
      <c r="AH8" s="71" t="n">
        <v>8.4</v>
      </c>
      <c r="AI8" s="74" t="str">
        <f aca="false">IF(OR(AH8="",$L8="",$M8=""),"",IF($E8="+",IF(AH8&gt;$M8,"Força",IF(AH8&lt;$L8,"Fraqueza","Neutro")),IF(AH8&lt;$L8,"Força",IF(AH8&gt;$M8,"Fraqueza","Neutro"))))</f>
        <v>Força</v>
      </c>
      <c r="AJ8" s="71" t="n">
        <v>0.39</v>
      </c>
      <c r="AK8" s="74" t="str">
        <f aca="false">IF(OR(AJ8="",$L8="",$M8=""),"",IF($E8="+",IF(AJ8&gt;$M8,"Força",IF(AJ8&lt;$L8,"Fraqueza","Neutro")),IF(AJ8&lt;$L8,"Força",IF(AJ8&gt;$M8,"Fraqueza","Neutro"))))</f>
        <v>Fraqueza</v>
      </c>
      <c r="AL8" s="71" t="n">
        <v>4.74</v>
      </c>
      <c r="AM8" s="74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68" t="s">
        <v>154</v>
      </c>
      <c r="B9" s="69" t="s">
        <v>74</v>
      </c>
      <c r="C9" s="69" t="s">
        <v>254</v>
      </c>
      <c r="D9" s="68" t="s">
        <v>251</v>
      </c>
      <c r="E9" s="70" t="s">
        <v>243</v>
      </c>
      <c r="F9" s="69" t="s">
        <v>255</v>
      </c>
      <c r="G9" s="70"/>
      <c r="H9" s="70" t="s">
        <v>253</v>
      </c>
      <c r="I9" s="71"/>
      <c r="J9" s="71"/>
      <c r="K9" s="71"/>
      <c r="L9" s="72" t="str">
        <f aca="false">IF($H9="Absoluto",IF($J9="","",$J9),IF($I9="","",IF($H9="Razão MT",MIN($I9*(1-Parâmetros!$B$3),$I9*(1+Parâmetros!$B$3)),$I9-Parâmetros!$B$4)))</f>
        <v/>
      </c>
      <c r="M9" s="72" t="str">
        <f aca="false">IF($H9="Absoluto",IF($K9="","",$K9),IF($I9="","",IF($H9="Razão MT",MAX($I9*(1-Parâmetros!$B$3),$I9*(1+Parâmetros!$B$3)),$I9+Parâmetros!$B$4)))</f>
        <v/>
      </c>
      <c r="N9" s="71"/>
      <c r="O9" s="74" t="str">
        <f aca="false">IF(OR(N9="",$L9="",$M9=""),"",IF($E9="+",IF(N9&gt;$M9,"Força",IF(N9&lt;$L9,"Fraqueza","Neutro")),IF(N9&lt;$L9,"Força",IF(N9&gt;$M9,"Fraqueza","Neutro"))))</f>
        <v/>
      </c>
      <c r="P9" s="71"/>
      <c r="Q9" s="74" t="str">
        <f aca="false">IF(OR(P9="",$L9="",$M9=""),"",IF($E9="+",IF(P9&gt;$M9,"Força",IF(P9&lt;$L9,"Fraqueza","Neutro")),IF(P9&lt;$L9,"Força",IF(P9&gt;$M9,"Fraqueza","Neutro"))))</f>
        <v/>
      </c>
      <c r="R9" s="71"/>
      <c r="S9" s="74" t="str">
        <f aca="false">IF(OR(R9="",$L9="",$M9=""),"",IF($E9="+",IF(R9&gt;$M9,"Força",IF(R9&lt;$L9,"Fraqueza","Neutro")),IF(R9&lt;$L9,"Força",IF(R9&gt;$M9,"Fraqueza","Neutro"))))</f>
        <v/>
      </c>
      <c r="T9" s="71"/>
      <c r="U9" s="74" t="str">
        <f aca="false">IF(OR(T9="",$L9="",$M9=""),"",IF($E9="+",IF(T9&gt;$M9,"Força",IF(T9&lt;$L9,"Fraqueza","Neutro")),IF(T9&lt;$L9,"Força",IF(T9&gt;$M9,"Fraqueza","Neutro"))))</f>
        <v/>
      </c>
      <c r="V9" s="71"/>
      <c r="W9" s="74" t="str">
        <f aca="false">IF(OR(V9="",$L9="",$M9=""),"",IF($E9="+",IF(V9&gt;$M9,"Força",IF(V9&lt;$L9,"Fraqueza","Neutro")),IF(V9&lt;$L9,"Força",IF(V9&gt;$M9,"Fraqueza","Neutro"))))</f>
        <v/>
      </c>
      <c r="X9" s="71"/>
      <c r="Y9" s="74" t="str">
        <f aca="false">IF(OR(X9="",$L9="",$M9=""),"",IF($E9="+",IF(X9&gt;$M9,"Força",IF(X9&lt;$L9,"Fraqueza","Neutro")),IF(X9&lt;$L9,"Força",IF(X9&gt;$M9,"Fraqueza","Neutro"))))</f>
        <v/>
      </c>
      <c r="Z9" s="71"/>
      <c r="AA9" s="74" t="str">
        <f aca="false">IF(OR(Z9="",$L9="",$M9=""),"",IF($E9="+",IF(Z9&gt;$M9,"Força",IF(Z9&lt;$L9,"Fraqueza","Neutro")),IF(Z9&lt;$L9,"Força",IF(Z9&gt;$M9,"Fraqueza","Neutro"))))</f>
        <v/>
      </c>
      <c r="AB9" s="71"/>
      <c r="AC9" s="74" t="str">
        <f aca="false">IF(OR(AB9="",$L9="",$M9=""),"",IF($E9="+",IF(AB9&gt;$M9,"Força",IF(AB9&lt;$L9,"Fraqueza","Neutro")),IF(AB9&lt;$L9,"Força",IF(AB9&gt;$M9,"Fraqueza","Neutro"))))</f>
        <v/>
      </c>
      <c r="AD9" s="71"/>
      <c r="AE9" s="74" t="str">
        <f aca="false">IF(OR(AD9="",$L9="",$M9=""),"",IF($E9="+",IF(AD9&gt;$M9,"Força",IF(AD9&lt;$L9,"Fraqueza","Neutro")),IF(AD9&lt;$L9,"Força",IF(AD9&gt;$M9,"Fraqueza","Neutro"))))</f>
        <v/>
      </c>
      <c r="AF9" s="71"/>
      <c r="AG9" s="74" t="str">
        <f aca="false">IF(OR(AF9="",$L9="",$M9=""),"",IF($E9="+",IF(AF9&gt;$M9,"Força",IF(AF9&lt;$L9,"Fraqueza","Neutro")),IF(AF9&lt;$L9,"Força",IF(AF9&gt;$M9,"Fraqueza","Neutro"))))</f>
        <v/>
      </c>
      <c r="AH9" s="71"/>
      <c r="AI9" s="74" t="str">
        <f aca="false">IF(OR(AH9="",$L9="",$M9=""),"",IF($E9="+",IF(AH9&gt;$M9,"Força",IF(AH9&lt;$L9,"Fraqueza","Neutro")),IF(AH9&lt;$L9,"Força",IF(AH9&gt;$M9,"Fraqueza","Neutro"))))</f>
        <v/>
      </c>
      <c r="AJ9" s="71"/>
      <c r="AK9" s="74" t="str">
        <f aca="false">IF(OR(AJ9="",$L9="",$M9=""),"",IF($E9="+",IF(AJ9&gt;$M9,"Força",IF(AJ9&lt;$L9,"Fraqueza","Neutro")),IF(AJ9&lt;$L9,"Força",IF(AJ9&gt;$M9,"Fraqueza","Neutro"))))</f>
        <v/>
      </c>
      <c r="AL9" s="71"/>
      <c r="AM9" s="74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8" t="s">
        <v>150</v>
      </c>
      <c r="B10" s="69" t="s">
        <v>74</v>
      </c>
      <c r="C10" s="69" t="s">
        <v>256</v>
      </c>
      <c r="D10" s="68" t="s">
        <v>257</v>
      </c>
      <c r="E10" s="70" t="s">
        <v>243</v>
      </c>
      <c r="F10" s="69" t="s">
        <v>258</v>
      </c>
      <c r="G10" s="70"/>
      <c r="H10" s="70" t="s">
        <v>249</v>
      </c>
      <c r="I10" s="71"/>
      <c r="J10" s="71"/>
      <c r="K10" s="71"/>
      <c r="L10" s="72" t="str">
        <f aca="false">IF($H10="Absoluto",IF($J10="","",$J10),IF($I10="","",IF($H10="Razão MT",MIN($I10*(1-Parâmetros!$B$3),$I10*(1+Parâmetros!$B$3)),$I10-Parâmetros!$B$4)))</f>
        <v/>
      </c>
      <c r="M10" s="72" t="str">
        <f aca="false">IF($H10="Absoluto",IF($K10="","",$K10),IF($I10="","",IF($H10="Razão MT",MAX($I10*(1-Parâmetros!$B$3),$I10*(1+Parâmetros!$B$3)),$I10+Parâmetros!$B$4)))</f>
        <v/>
      </c>
      <c r="N10" s="71"/>
      <c r="O10" s="74" t="str">
        <f aca="false">IF(OR(N10="",$L10="",$M10=""),"",IF($E10="+",IF(N10&gt;$M10,"Força",IF(N10&lt;$L10,"Fraqueza","Neutro")),IF(N10&lt;$L10,"Força",IF(N10&gt;$M10,"Fraqueza","Neutro"))))</f>
        <v/>
      </c>
      <c r="P10" s="71"/>
      <c r="Q10" s="74" t="str">
        <f aca="false">IF(OR(P10="",$L10="",$M10=""),"",IF($E10="+",IF(P10&gt;$M10,"Força",IF(P10&lt;$L10,"Fraqueza","Neutro")),IF(P10&lt;$L10,"Força",IF(P10&gt;$M10,"Fraqueza","Neutro"))))</f>
        <v/>
      </c>
      <c r="R10" s="71"/>
      <c r="S10" s="74" t="str">
        <f aca="false">IF(OR(R10="",$L10="",$M10=""),"",IF($E10="+",IF(R10&gt;$M10,"Força",IF(R10&lt;$L10,"Fraqueza","Neutro")),IF(R10&lt;$L10,"Força",IF(R10&gt;$M10,"Fraqueza","Neutro"))))</f>
        <v/>
      </c>
      <c r="T10" s="71"/>
      <c r="U10" s="74" t="str">
        <f aca="false">IF(OR(T10="",$L10="",$M10=""),"",IF($E10="+",IF(T10&gt;$M10,"Força",IF(T10&lt;$L10,"Fraqueza","Neutro")),IF(T10&lt;$L10,"Força",IF(T10&gt;$M10,"Fraqueza","Neutro"))))</f>
        <v/>
      </c>
      <c r="V10" s="71"/>
      <c r="W10" s="74" t="str">
        <f aca="false">IF(OR(V10="",$L10="",$M10=""),"",IF($E10="+",IF(V10&gt;$M10,"Força",IF(V10&lt;$L10,"Fraqueza","Neutro")),IF(V10&lt;$L10,"Força",IF(V10&gt;$M10,"Fraqueza","Neutro"))))</f>
        <v/>
      </c>
      <c r="X10" s="71"/>
      <c r="Y10" s="74" t="str">
        <f aca="false">IF(OR(X10="",$L10="",$M10=""),"",IF($E10="+",IF(X10&gt;$M10,"Força",IF(X10&lt;$L10,"Fraqueza","Neutro")),IF(X10&lt;$L10,"Força",IF(X10&gt;$M10,"Fraqueza","Neutro"))))</f>
        <v/>
      </c>
      <c r="Z10" s="71"/>
      <c r="AA10" s="74" t="str">
        <f aca="false">IF(OR(Z10="",$L10="",$M10=""),"",IF($E10="+",IF(Z10&gt;$M10,"Força",IF(Z10&lt;$L10,"Fraqueza","Neutro")),IF(Z10&lt;$L10,"Força",IF(Z10&gt;$M10,"Fraqueza","Neutro"))))</f>
        <v/>
      </c>
      <c r="AB10" s="71"/>
      <c r="AC10" s="74" t="str">
        <f aca="false">IF(OR(AB10="",$L10="",$M10=""),"",IF($E10="+",IF(AB10&gt;$M10,"Força",IF(AB10&lt;$L10,"Fraqueza","Neutro")),IF(AB10&lt;$L10,"Força",IF(AB10&gt;$M10,"Fraqueza","Neutro"))))</f>
        <v/>
      </c>
      <c r="AD10" s="71"/>
      <c r="AE10" s="74" t="str">
        <f aca="false">IF(OR(AD10="",$L10="",$M10=""),"",IF($E10="+",IF(AD10&gt;$M10,"Força",IF(AD10&lt;$L10,"Fraqueza","Neutro")),IF(AD10&lt;$L10,"Força",IF(AD10&gt;$M10,"Fraqueza","Neutro"))))</f>
        <v/>
      </c>
      <c r="AF10" s="71"/>
      <c r="AG10" s="74" t="str">
        <f aca="false">IF(OR(AF10="",$L10="",$M10=""),"",IF($E10="+",IF(AF10&gt;$M10,"Força",IF(AF10&lt;$L10,"Fraqueza","Neutro")),IF(AF10&lt;$L10,"Força",IF(AF10&gt;$M10,"Fraqueza","Neutro"))))</f>
        <v/>
      </c>
      <c r="AH10" s="71"/>
      <c r="AI10" s="74" t="str">
        <f aca="false">IF(OR(AH10="",$L10="",$M10=""),"",IF($E10="+",IF(AH10&gt;$M10,"Força",IF(AH10&lt;$L10,"Fraqueza","Neutro")),IF(AH10&lt;$L10,"Força",IF(AH10&gt;$M10,"Fraqueza","Neutro"))))</f>
        <v/>
      </c>
      <c r="AJ10" s="71"/>
      <c r="AK10" s="74" t="str">
        <f aca="false">IF(OR(AJ10="",$L10="",$M10=""),"",IF($E10="+",IF(AJ10&gt;$M10,"Força",IF(AJ10&lt;$L10,"Fraqueza","Neutro")),IF(AJ10&lt;$L10,"Força",IF(AJ10&gt;$M10,"Fraqueza","Neutro"))))</f>
        <v/>
      </c>
      <c r="AL10" s="71"/>
      <c r="AM10" s="74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5" t="s">
        <v>259</v>
      </c>
      <c r="B11" s="76" t="s">
        <v>76</v>
      </c>
      <c r="C11" s="76" t="s">
        <v>260</v>
      </c>
      <c r="D11" s="75" t="s">
        <v>242</v>
      </c>
      <c r="E11" s="70" t="s">
        <v>243</v>
      </c>
      <c r="F11" s="76" t="s">
        <v>244</v>
      </c>
      <c r="G11" s="70" t="n">
        <v>2021</v>
      </c>
      <c r="H11" s="70" t="s">
        <v>245</v>
      </c>
      <c r="I11" s="71" t="n">
        <v>1</v>
      </c>
      <c r="J11" s="71" t="n">
        <v>0.8</v>
      </c>
      <c r="K11" s="71" t="n">
        <v>1.2</v>
      </c>
      <c r="L11" s="72" t="n">
        <f aca="false">IF($H11="Absoluto",IF($J11="","",$J11),IF($I11="","",IF($H11="Razão MT",MIN($I11*(1-Parâmetros!$B$3),$I11*(1+Parâmetros!$B$3)),$I11-Parâmetros!$B$4)))</f>
        <v>0.8</v>
      </c>
      <c r="M11" s="72" t="n">
        <f aca="false">IF($H11="Absoluto",IF($K11="","",$K11),IF($I11="","",IF($H11="Razão MT",MAX($I11*(1-Parâmetros!$B$3),$I11*(1+Parâmetros!$B$3)),$I11+Parâmetros!$B$4)))</f>
        <v>1.2</v>
      </c>
      <c r="N11" s="73" t="n">
        <v>0.169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3" t="n">
        <v>0.6374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3" t="n">
        <v>0.4717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3" t="n">
        <v>0.2854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3" t="n">
        <v>1.2891</v>
      </c>
      <c r="W11" s="74" t="str">
        <f aca="false">IF(OR(V11="",$L11="",$M11=""),"",IF($E11="+",IF(V11&gt;$M11,"Força",IF(V11&lt;$L11,"Fraqueza","Neutro")),IF(V11&lt;$L11,"Força",IF(V11&gt;$M11,"Fraqueza","Neutro"))))</f>
        <v>Força</v>
      </c>
      <c r="X11" s="73" t="n">
        <v>1.1671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3" t="n">
        <v>1.1956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3" t="n">
        <v>1.2112</v>
      </c>
      <c r="AC11" s="74" t="str">
        <f aca="false">IF(OR(AB11="",$L11="",$M11=""),"",IF($E11="+",IF(AB11&gt;$M11,"Força",IF(AB11&lt;$L11,"Fraqueza","Neutro")),IF(AB11&lt;$L11,"Força",IF(AB11&gt;$M11,"Fraqueza","Neutro"))))</f>
        <v>Força</v>
      </c>
      <c r="AD11" s="73" t="n">
        <v>2.0033</v>
      </c>
      <c r="AE11" s="74" t="str">
        <f aca="false">IF(OR(AD11="",$L11="",$M11=""),"",IF($E11="+",IF(AD11&gt;$M11,"Força",IF(AD11&lt;$L11,"Fraqueza","Neutro")),IF(AD11&lt;$L11,"Força",IF(AD11&gt;$M11,"Fraqueza","Neutro"))))</f>
        <v>Força</v>
      </c>
      <c r="AF11" s="73" t="n">
        <v>0.5947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3" t="n">
        <v>1.0107</v>
      </c>
      <c r="AI11" s="74" t="str">
        <f aca="false">IF(OR(AH11="",$L11="",$M11=""),"",IF($E11="+",IF(AH11&gt;$M11,"Força",IF(AH11&lt;$L11,"Fraqueza","Neutro")),IF(AH11&lt;$L11,"Força",IF(AH11&gt;$M11,"Fraqueza","Neutro"))))</f>
        <v>Neutro</v>
      </c>
      <c r="AJ11" s="73" t="n">
        <v>1.8691</v>
      </c>
      <c r="AK11" s="74" t="str">
        <f aca="false">IF(OR(AJ11="",$L11="",$M11=""),"",IF($E11="+",IF(AJ11&gt;$M11,"Força",IF(AJ11&lt;$L11,"Fraqueza","Neutro")),IF(AJ11&lt;$L11,"Força",IF(AJ11&gt;$M11,"Fraqueza","Neutro"))))</f>
        <v>Força</v>
      </c>
      <c r="AL11" s="73" t="n">
        <v>0.4719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5" t="s">
        <v>187</v>
      </c>
      <c r="B12" s="76" t="s">
        <v>76</v>
      </c>
      <c r="C12" s="76" t="s">
        <v>261</v>
      </c>
      <c r="D12" s="75" t="s">
        <v>251</v>
      </c>
      <c r="E12" s="70" t="s">
        <v>243</v>
      </c>
      <c r="F12" s="76" t="s">
        <v>262</v>
      </c>
      <c r="G12" s="70" t="n">
        <v>2024</v>
      </c>
      <c r="H12" s="70" t="s">
        <v>253</v>
      </c>
      <c r="I12" s="71" t="n">
        <v>36.92</v>
      </c>
      <c r="J12" s="71"/>
      <c r="K12" s="71"/>
      <c r="L12" s="72" t="n">
        <f aca="false">IF($H12="Absoluto",IF($J12="","",$J12),IF($I12="","",IF($H12="Razão MT",MIN($I12*(1-Parâmetros!$B$3),$I12*(1+Parâmetros!$B$3)),$I12-Parâmetros!$B$4)))</f>
        <v>34.92</v>
      </c>
      <c r="M12" s="72" t="n">
        <f aca="false">IF($H12="Absoluto",IF($K12="","",$K12),IF($I12="","",IF($H12="Razão MT",MAX($I12*(1-Parâmetros!$B$3),$I12*(1+Parâmetros!$B$3)),$I12+Parâmetros!$B$4)))</f>
        <v>38.92</v>
      </c>
      <c r="N12" s="71" t="n">
        <v>2299.57</v>
      </c>
      <c r="O12" s="74" t="str">
        <f aca="false">IF(OR(N12="",$L12="",$M12=""),"",IF($E12="+",IF(N12&gt;$M12,"Força",IF(N12&lt;$L12,"Fraqueza","Neutro")),IF(N12&lt;$L12,"Força",IF(N12&gt;$M12,"Fraqueza","Neutro"))))</f>
        <v>Força</v>
      </c>
      <c r="P12" s="71" t="n">
        <v>58.91</v>
      </c>
      <c r="Q12" s="74" t="str">
        <f aca="false">IF(OR(P12="",$L12="",$M12=""),"",IF($E12="+",IF(P12&gt;$M12,"Força",IF(P12&lt;$L12,"Fraqueza","Neutro")),IF(P12&lt;$L12,"Força",IF(P12&gt;$M12,"Fraqueza","Neutro"))))</f>
        <v>Força</v>
      </c>
      <c r="R12" s="71" t="n">
        <v>-45.74</v>
      </c>
      <c r="S12" s="74" t="str">
        <f aca="false">IF(OR(R12="",$L12="",$M12=""),"",IF($E12="+",IF(R12&gt;$M12,"Força",IF(R12&lt;$L12,"Fraqueza","Neutro")),IF(R12&lt;$L12,"Força",IF(R12&gt;$M12,"Fraqueza","Neutro"))))</f>
        <v>Fraqueza</v>
      </c>
      <c r="T12" s="71" t="n">
        <v>150</v>
      </c>
      <c r="U12" s="74" t="str">
        <f aca="false">IF(OR(T12="",$L12="",$M12=""),"",IF($E12="+",IF(T12&gt;$M12,"Força",IF(T12&lt;$L12,"Fraqueza","Neutro")),IF(T12&lt;$L12,"Força",IF(T12&gt;$M12,"Fraqueza","Neutro"))))</f>
        <v>Força</v>
      </c>
      <c r="V12" s="71" t="n">
        <v>123.51</v>
      </c>
      <c r="W12" s="74" t="str">
        <f aca="false">IF(OR(V12="",$L12="",$M12=""),"",IF($E12="+",IF(V12&gt;$M12,"Força",IF(V12&lt;$L12,"Fraqueza","Neutro")),IF(V12&lt;$L12,"Força",IF(V12&gt;$M12,"Fraqueza","Neutro"))))</f>
        <v>Força</v>
      </c>
      <c r="X12" s="71" t="n">
        <v>107.6</v>
      </c>
      <c r="Y12" s="74" t="str">
        <f aca="false">IF(OR(X12="",$L12="",$M12=""),"",IF($E12="+",IF(X12&gt;$M12,"Força",IF(X12&lt;$L12,"Fraqueza","Neutro")),IF(X12&lt;$L12,"Força",IF(X12&gt;$M12,"Fraqueza","Neutro"))))</f>
        <v>Força</v>
      </c>
      <c r="Z12" s="71" t="n">
        <v>17.39</v>
      </c>
      <c r="AA12" s="74" t="str">
        <f aca="false">IF(OR(Z12="",$L12="",$M12=""),"",IF($E12="+",IF(Z12&gt;$M12,"Força",IF(Z12&lt;$L12,"Fraqueza","Neutro")),IF(Z12&lt;$L12,"Força",IF(Z12&gt;$M12,"Fraqueza","Neutro"))))</f>
        <v>Fraqueza</v>
      </c>
      <c r="AB12" s="71" t="n">
        <v>1.57</v>
      </c>
      <c r="AC12" s="74" t="str">
        <f aca="false">IF(OR(AB12="",$L12="",$M12=""),"",IF($E12="+",IF(AB12&gt;$M12,"Força",IF(AB12&lt;$L12,"Fraqueza","Neutro")),IF(AB12&lt;$L12,"Força",IF(AB12&gt;$M12,"Fraqueza","Neutro"))))</f>
        <v>Fraqueza</v>
      </c>
      <c r="AD12" s="71" t="n">
        <v>64.63</v>
      </c>
      <c r="AE12" s="74" t="str">
        <f aca="false">IF(OR(AD12="",$L12="",$M12=""),"",IF($E12="+",IF(AD12&gt;$M12,"Força",IF(AD12&lt;$L12,"Fraqueza","Neutro")),IF(AD12&lt;$L12,"Força",IF(AD12&gt;$M12,"Fraqueza","Neutro"))))</f>
        <v>Força</v>
      </c>
      <c r="AF12" s="71" t="n">
        <v>31.45</v>
      </c>
      <c r="AG12" s="74" t="str">
        <f aca="false">IF(OR(AF12="",$L12="",$M12=""),"",IF($E12="+",IF(AF12&gt;$M12,"Força",IF(AF12&lt;$L12,"Fraqueza","Neutro")),IF(AF12&lt;$L12,"Força",IF(AF12&gt;$M12,"Fraqueza","Neutro"))))</f>
        <v>Fraqueza</v>
      </c>
      <c r="AH12" s="71" t="n">
        <v>633.3</v>
      </c>
      <c r="AI12" s="74" t="str">
        <f aca="false">IF(OR(AH12="",$L12="",$M12=""),"",IF($E12="+",IF(AH12&gt;$M12,"Força",IF(AH12&lt;$L12,"Fraqueza","Neutro")),IF(AH12&lt;$L12,"Força",IF(AH12&gt;$M12,"Fraqueza","Neutro"))))</f>
        <v>Força</v>
      </c>
      <c r="AJ12" s="71" t="n">
        <v>30.12</v>
      </c>
      <c r="AK12" s="74" t="str">
        <f aca="false">IF(OR(AJ12="",$L12="",$M12=""),"",IF($E12="+",IF(AJ12&gt;$M12,"Força",IF(AJ12&lt;$L12,"Fraqueza","Neutro")),IF(AJ12&lt;$L12,"Força",IF(AJ12&gt;$M12,"Fraqueza","Neutro"))))</f>
        <v>Fraqueza</v>
      </c>
      <c r="AL12" s="71" t="n">
        <v>100</v>
      </c>
      <c r="AM12" s="74" t="str">
        <f aca="false">IF(OR(AL12="",$L12="",$M12=""),"",IF($E12="+",IF(AL12&gt;$M12,"Força",IF(AL12&lt;$L12,"Fraqueza","Neutro")),IF(AL12&lt;$L12,"Força",IF(AL12&gt;$M12,"Fraqueza","Neutro"))))</f>
        <v>Força</v>
      </c>
    </row>
    <row r="13" customFormat="false" ht="15" hidden="false" customHeight="true" outlineLevel="0" collapsed="false">
      <c r="A13" s="75" t="s">
        <v>191</v>
      </c>
      <c r="B13" s="76" t="s">
        <v>76</v>
      </c>
      <c r="C13" s="76" t="s">
        <v>263</v>
      </c>
      <c r="D13" s="75" t="s">
        <v>264</v>
      </c>
      <c r="E13" s="70" t="s">
        <v>243</v>
      </c>
      <c r="F13" s="76" t="s">
        <v>262</v>
      </c>
      <c r="G13" s="70" t="n">
        <v>2024</v>
      </c>
      <c r="H13" s="70" t="s">
        <v>249</v>
      </c>
      <c r="I13" s="71" t="n">
        <v>2956.72</v>
      </c>
      <c r="J13" s="71"/>
      <c r="K13" s="71"/>
      <c r="L13" s="72" t="n">
        <f aca="false">IF($H13="Absoluto",IF($J13="","",$J13),IF($I13="","",IF($H13="Razão MT",MIN($I13*(1-Parâmetros!$B$3),$I13*(1+Parâmetros!$B$3)),$I13-Parâmetros!$B$4)))</f>
        <v>2661.048</v>
      </c>
      <c r="M13" s="72" t="n">
        <f aca="false">IF($H13="Absoluto",IF($K13="","",$K13),IF($I13="","",IF($H13="Razão MT",MAX($I13*(1-Parâmetros!$B$3),$I13*(1+Parâmetros!$B$3)),$I13+Parâmetros!$B$4)))</f>
        <v>3252.392</v>
      </c>
      <c r="N13" s="71" t="n">
        <v>2624.01</v>
      </c>
      <c r="O13" s="74" t="str">
        <f aca="false">IF(OR(N13="",$L13="",$M13=""),"",IF($E13="+",IF(N13&gt;$M13,"Força",IF(N13&lt;$L13,"Fraqueza","Neutro")),IF(N13&lt;$L13,"Força",IF(N13&gt;$M13,"Fraqueza","Neutro"))))</f>
        <v>Fraqueza</v>
      </c>
      <c r="P13" s="71" t="n">
        <v>2345.65</v>
      </c>
      <c r="Q13" s="74" t="str">
        <f aca="false">IF(OR(P13="",$L13="",$M13=""),"",IF($E13="+",IF(P13&gt;$M13,"Força",IF(P13&lt;$L13,"Fraqueza","Neutro")),IF(P13&lt;$L13,"Força",IF(P13&gt;$M13,"Fraqueza","Neutro"))))</f>
        <v>Fraqueza</v>
      </c>
      <c r="R13" s="71" t="n">
        <v>1956.93</v>
      </c>
      <c r="S13" s="74" t="str">
        <f aca="false">IF(OR(R13="",$L13="",$M13=""),"",IF($E13="+",IF(R13&gt;$M13,"Força",IF(R13&lt;$L13,"Fraqueza","Neutro")),IF(R13&lt;$L13,"Força",IF(R13&gt;$M13,"Fraqueza","Neutro"))))</f>
        <v>Fraqueza</v>
      </c>
      <c r="T13" s="71" t="n">
        <v>2190.43</v>
      </c>
      <c r="U13" s="74" t="str">
        <f aca="false">IF(OR(T13="",$L13="",$M13=""),"",IF($E13="+",IF(T13&gt;$M13,"Força",IF(T13&lt;$L13,"Fraqueza","Neutro")),IF(T13&lt;$L13,"Força",IF(T13&gt;$M13,"Fraqueza","Neutro"))))</f>
        <v>Fraqueza</v>
      </c>
      <c r="V13" s="71" t="n">
        <v>1503.38</v>
      </c>
      <c r="W13" s="74" t="str">
        <f aca="false">IF(OR(V13="",$L13="",$M13=""),"",IF($E13="+",IF(V13&gt;$M13,"Força",IF(V13&lt;$L13,"Fraqueza","Neutro")),IF(V13&lt;$L13,"Força",IF(V13&gt;$M13,"Fraqueza","Neutro"))))</f>
        <v>Fraqueza</v>
      </c>
      <c r="X13" s="71" t="n">
        <v>3141.45</v>
      </c>
      <c r="Y13" s="74" t="str">
        <f aca="false">IF(OR(X13="",$L13="",$M13=""),"",IF($E13="+",IF(X13&gt;$M13,"Força",IF(X13&lt;$L13,"Fraqueza","Neutro")),IF(X13&lt;$L13,"Força",IF(X13&gt;$M13,"Fraqueza","Neutro"))))</f>
        <v>Neutro</v>
      </c>
      <c r="Z13" s="71" t="n">
        <v>3096.65</v>
      </c>
      <c r="AA13" s="74" t="str">
        <f aca="false">IF(OR(Z13="",$L13="",$M13=""),"",IF($E13="+",IF(Z13&gt;$M13,"Força",IF(Z13&lt;$L13,"Fraqueza","Neutro")),IF(Z13&lt;$L13,"Força",IF(Z13&gt;$M13,"Fraqueza","Neutro"))))</f>
        <v>Neutro</v>
      </c>
      <c r="AB13" s="71" t="n">
        <v>2809.72</v>
      </c>
      <c r="AC13" s="74" t="str">
        <f aca="false">IF(OR(AB13="",$L13="",$M13=""),"",IF($E13="+",IF(AB13&gt;$M13,"Força",IF(AB13&lt;$L13,"Fraqueza","Neutro")),IF(AB13&lt;$L13,"Força",IF(AB13&gt;$M13,"Fraqueza","Neutro"))))</f>
        <v>Neutro</v>
      </c>
      <c r="AD13" s="71" t="n">
        <v>2895.19</v>
      </c>
      <c r="AE13" s="74" t="str">
        <f aca="false">IF(OR(AD13="",$L13="",$M13=""),"",IF($E13="+",IF(AD13&gt;$M13,"Força",IF(AD13&lt;$L13,"Fraqueza","Neutro")),IF(AD13&lt;$L13,"Força",IF(AD13&gt;$M13,"Fraqueza","Neutro"))))</f>
        <v>Neutro</v>
      </c>
      <c r="AF13" s="71" t="n">
        <v>2150.35</v>
      </c>
      <c r="AG13" s="74" t="str">
        <f aca="false">IF(OR(AF13="",$L13="",$M13=""),"",IF($E13="+",IF(AF13&gt;$M13,"Força",IF(AF13&lt;$L13,"Fraqueza","Neutro")),IF(AF13&lt;$L13,"Força",IF(AF13&gt;$M13,"Fraqueza","Neutro"))))</f>
        <v>Fraqueza</v>
      </c>
      <c r="AH13" s="71" t="n">
        <v>1432.11</v>
      </c>
      <c r="AI13" s="74" t="str">
        <f aca="false">IF(OR(AH13="",$L13="",$M13=""),"",IF($E13="+",IF(AH13&gt;$M13,"Força",IF(AH13&lt;$L13,"Fraqueza","Neutro")),IF(AH13&lt;$L13,"Força",IF(AH13&gt;$M13,"Fraqueza","Neutro"))))</f>
        <v>Fraqueza</v>
      </c>
      <c r="AJ13" s="71" t="n">
        <v>2903.68</v>
      </c>
      <c r="AK13" s="74" t="str">
        <f aca="false">IF(OR(AJ13="",$L13="",$M13=""),"",IF($E13="+",IF(AJ13&gt;$M13,"Força",IF(AJ13&lt;$L13,"Fraqueza","Neutro")),IF(AJ13&lt;$L13,"Força",IF(AJ13&gt;$M13,"Fraqueza","Neutro"))))</f>
        <v>Neutro</v>
      </c>
      <c r="AL13" s="71" t="n">
        <v>2394.42</v>
      </c>
      <c r="AM13" s="74" t="str">
        <f aca="false">IF(OR(AL13="",$L13="",$M13=""),"",IF($E13="+",IF(AL13&gt;$M13,"Força",IF(AL13&lt;$L13,"Fraqueza","Neutro")),IF(AL13&lt;$L13,"Força",IF(AL13&gt;$M13,"Fraqueza","Neutro"))))</f>
        <v>Fraqueza</v>
      </c>
    </row>
    <row r="14" customFormat="false" ht="23.25" hidden="false" customHeight="true" outlineLevel="0" collapsed="false">
      <c r="A14" s="77" t="s">
        <v>265</v>
      </c>
      <c r="B14" s="78" t="s">
        <v>266</v>
      </c>
      <c r="C14" s="78" t="s">
        <v>267</v>
      </c>
      <c r="D14" s="77" t="s">
        <v>242</v>
      </c>
      <c r="E14" s="70" t="s">
        <v>243</v>
      </c>
      <c r="F14" s="78" t="s">
        <v>244</v>
      </c>
      <c r="G14" s="70" t="n">
        <v>2021</v>
      </c>
      <c r="H14" s="70" t="s">
        <v>245</v>
      </c>
      <c r="I14" s="71" t="n">
        <v>1</v>
      </c>
      <c r="J14" s="71" t="n">
        <v>0.8</v>
      </c>
      <c r="K14" s="71" t="n">
        <v>1.2</v>
      </c>
      <c r="L14" s="72" t="n">
        <f aca="false">IF($H14="Absoluto",IF($J14="","",$J14),IF($I14="","",IF($H14="Razão MT",MIN($I14*(1-Parâmetros!$B$3),$I14*(1+Parâmetros!$B$3)),$I14-Parâmetros!$B$4)))</f>
        <v>0.8</v>
      </c>
      <c r="M14" s="72" t="n">
        <f aca="false">IF($H14="Absoluto",IF($K14="","",$K14),IF($I14="","",IF($H14="Razão MT",MAX($I14*(1-Parâmetros!$B$3),$I14*(1+Parâmetros!$B$3)),$I14+Parâmetros!$B$4)))</f>
        <v>1.2</v>
      </c>
      <c r="N14" s="73" t="n">
        <v>0.4274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3" t="n">
        <v>1.3013</v>
      </c>
      <c r="Q14" s="74" t="str">
        <f aca="false">IF(OR(P14="",$L14="",$M14=""),"",IF($E14="+",IF(P14&gt;$M14,"Força",IF(P14&lt;$L14,"Fraqueza","Neutro")),IF(P14&lt;$L14,"Força",IF(P14&gt;$M14,"Fraqueza","Neutro"))))</f>
        <v>Força</v>
      </c>
      <c r="R14" s="73" t="n">
        <v>0.5029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3" t="n">
        <v>0.4636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3" t="n">
        <v>0.3623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3" t="n">
        <v>0.4388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3" t="n">
        <v>0.3227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3" t="n">
        <v>1.1498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3" t="n">
        <v>0.7089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3" t="n">
        <v>1.1034</v>
      </c>
      <c r="AG14" s="74" t="str">
        <f aca="false">IF(OR(AF14="",$L14="",$M14=""),"",IF($E14="+",IF(AF14&gt;$M14,"Força",IF(AF14&lt;$L14,"Fraqueza","Neutro")),IF(AF14&lt;$L14,"Força",IF(AF14&gt;$M14,"Fraqueza","Neutro"))))</f>
        <v>Neutro</v>
      </c>
      <c r="AH14" s="73" t="n">
        <v>0.505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3" t="n">
        <v>1.5988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3" t="n">
        <v>0.3417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7" t="s">
        <v>194</v>
      </c>
      <c r="B15" s="78" t="s">
        <v>266</v>
      </c>
      <c r="C15" s="78" t="s">
        <v>268</v>
      </c>
      <c r="D15" s="77" t="s">
        <v>251</v>
      </c>
      <c r="E15" s="70" t="s">
        <v>243</v>
      </c>
      <c r="F15" s="78" t="s">
        <v>262</v>
      </c>
      <c r="G15" s="70" t="n">
        <v>2024</v>
      </c>
      <c r="H15" s="70" t="s">
        <v>253</v>
      </c>
      <c r="I15" s="71" t="n">
        <v>38.11</v>
      </c>
      <c r="J15" s="71"/>
      <c r="K15" s="71"/>
      <c r="L15" s="72" t="n">
        <f aca="false">IF($H15="Absoluto",IF($J15="","",$J15),IF($I15="","",IF($H15="Razão MT",MIN($I15*(1-Parâmetros!$B$3),$I15*(1+Parâmetros!$B$3)),$I15-Parâmetros!$B$4)))</f>
        <v>36.11</v>
      </c>
      <c r="M15" s="72" t="n">
        <f aca="false">IF($H15="Absoluto",IF($K15="","",$K15),IF($I15="","",IF($H15="Razão MT",MAX($I15*(1-Parâmetros!$B$3),$I15*(1+Parâmetros!$B$3)),$I15+Parâmetros!$B$4)))</f>
        <v>40.11</v>
      </c>
      <c r="N15" s="71" t="n">
        <v>28.79</v>
      </c>
      <c r="O15" s="74" t="str">
        <f aca="false">IF(OR(N15="",$L15="",$M15=""),"",IF($E15="+",IF(N15&gt;$M15,"Força",IF(N15&lt;$L15,"Fraqueza","Neutro")),IF(N15&lt;$L15,"Força",IF(N15&gt;$M15,"Fraqueza","Neutro"))))</f>
        <v>Fraqueza</v>
      </c>
      <c r="P15" s="71" t="n">
        <v>13.05</v>
      </c>
      <c r="Q15" s="74" t="str">
        <f aca="false">IF(OR(P15="",$L15="",$M15=""),"",IF($E15="+",IF(P15&gt;$M15,"Força",IF(P15&lt;$L15,"Fraqueza","Neutro")),IF(P15&lt;$L15,"Força",IF(P15&gt;$M15,"Fraqueza","Neutro"))))</f>
        <v>Fraqueza</v>
      </c>
      <c r="R15" s="71" t="n">
        <v>89.04</v>
      </c>
      <c r="S15" s="74" t="str">
        <f aca="false">IF(OR(R15="",$L15="",$M15=""),"",IF($E15="+",IF(R15&gt;$M15,"Força",IF(R15&lt;$L15,"Fraqueza","Neutro")),IF(R15&lt;$L15,"Força",IF(R15&gt;$M15,"Fraqueza","Neutro"))))</f>
        <v>Força</v>
      </c>
      <c r="T15" s="71" t="n">
        <v>-10.46</v>
      </c>
      <c r="U15" s="74" t="str">
        <f aca="false">IF(OR(T15="",$L15="",$M15=""),"",IF($E15="+",IF(T15&gt;$M15,"Força",IF(T15&lt;$L15,"Fraqueza","Neutro")),IF(T15&lt;$L15,"Força",IF(T15&gt;$M15,"Fraqueza","Neutro"))))</f>
        <v>Fraqueza</v>
      </c>
      <c r="V15" s="71" t="n">
        <v>27.74</v>
      </c>
      <c r="W15" s="74" t="str">
        <f aca="false">IF(OR(V15="",$L15="",$M15=""),"",IF($E15="+",IF(V15&gt;$M15,"Força",IF(V15&lt;$L15,"Fraqueza","Neutro")),IF(V15&lt;$L15,"Força",IF(V15&gt;$M15,"Fraqueza","Neutro"))))</f>
        <v>Fraqueza</v>
      </c>
      <c r="X15" s="71" t="n">
        <v>41.4</v>
      </c>
      <c r="Y15" s="74" t="str">
        <f aca="false">IF(OR(X15="",$L15="",$M15=""),"",IF($E15="+",IF(X15&gt;$M15,"Força",IF(X15&lt;$L15,"Fraqueza","Neutro")),IF(X15&lt;$L15,"Força",IF(X15&gt;$M15,"Fraqueza","Neutro"))))</f>
        <v>Força</v>
      </c>
      <c r="Z15" s="71" t="n">
        <v>13.39</v>
      </c>
      <c r="AA15" s="74" t="str">
        <f aca="false">IF(OR(Z15="",$L15="",$M15=""),"",IF($E15="+",IF(Z15&gt;$M15,"Força",IF(Z15&lt;$L15,"Fraqueza","Neutro")),IF(Z15&lt;$L15,"Força",IF(Z15&gt;$M15,"Fraqueza","Neutro"))))</f>
        <v>Fraqueza</v>
      </c>
      <c r="AB15" s="71" t="n">
        <v>14.99</v>
      </c>
      <c r="AC15" s="74" t="str">
        <f aca="false">IF(OR(AB15="",$L15="",$M15=""),"",IF($E15="+",IF(AB15&gt;$M15,"Força",IF(AB15&lt;$L15,"Fraqueza","Neutro")),IF(AB15&lt;$L15,"Força",IF(AB15&gt;$M15,"Fraqueza","Neutro"))))</f>
        <v>Fraqueza</v>
      </c>
      <c r="AD15" s="71" t="n">
        <v>158.22</v>
      </c>
      <c r="AE15" s="74" t="str">
        <f aca="false">IF(OR(AD15="",$L15="",$M15=""),"",IF($E15="+",IF(AD15&gt;$M15,"Força",IF(AD15&lt;$L15,"Fraqueza","Neutro")),IF(AD15&lt;$L15,"Força",IF(AD15&gt;$M15,"Fraqueza","Neutro"))))</f>
        <v>Força</v>
      </c>
      <c r="AF15" s="71" t="n">
        <v>30.43</v>
      </c>
      <c r="AG15" s="74" t="str">
        <f aca="false">IF(OR(AF15="",$L15="",$M15=""),"",IF($E15="+",IF(AF15&gt;$M15,"Força",IF(AF15&lt;$L15,"Fraqueza","Neutro")),IF(AF15&lt;$L15,"Força",IF(AF15&gt;$M15,"Fraqueza","Neutro"))))</f>
        <v>Fraqueza</v>
      </c>
      <c r="AH15" s="71" t="n">
        <v>-12.56</v>
      </c>
      <c r="AI15" s="74" t="str">
        <f aca="false">IF(OR(AH15="",$L15="",$M15=""),"",IF($E15="+",IF(AH15&gt;$M15,"Força",IF(AH15&lt;$L15,"Fraqueza","Neutro")),IF(AH15&lt;$L15,"Força",IF(AH15&gt;$M15,"Fraqueza","Neutro"))))</f>
        <v>Fraqueza</v>
      </c>
      <c r="AJ15" s="71" t="n">
        <v>40.03</v>
      </c>
      <c r="AK15" s="74" t="str">
        <f aca="false">IF(OR(AJ15="",$L15="",$M15=""),"",IF($E15="+",IF(AJ15&gt;$M15,"Força",IF(AJ15&lt;$L15,"Fraqueza","Neutro")),IF(AJ15&lt;$L15,"Força",IF(AJ15&gt;$M15,"Fraqueza","Neutro"))))</f>
        <v>Neutro</v>
      </c>
      <c r="AL15" s="71" t="n">
        <v>31.02</v>
      </c>
      <c r="AM15" s="74" t="str">
        <f aca="false">IF(OR(AL15="",$L15="",$M15=""),"",IF($E15="+",IF(AL15&gt;$M15,"Força",IF(AL15&lt;$L15,"Fraqueza","Neutro")),IF(AL15&lt;$L15,"Força",IF(AL15&gt;$M15,"Fraqueza","Neutro"))))</f>
        <v>Fraqueza</v>
      </c>
    </row>
    <row r="16" customFormat="false" ht="23.25" hidden="false" customHeight="true" outlineLevel="0" collapsed="false">
      <c r="A16" s="77" t="s">
        <v>158</v>
      </c>
      <c r="B16" s="78" t="s">
        <v>266</v>
      </c>
      <c r="C16" s="78" t="s">
        <v>269</v>
      </c>
      <c r="D16" s="77" t="s">
        <v>270</v>
      </c>
      <c r="E16" s="70" t="s">
        <v>243</v>
      </c>
      <c r="F16" s="78" t="s">
        <v>271</v>
      </c>
      <c r="G16" s="70" t="n">
        <v>2021</v>
      </c>
      <c r="H16" s="70" t="s">
        <v>249</v>
      </c>
      <c r="I16" s="71" t="n">
        <v>33.22</v>
      </c>
      <c r="J16" s="71"/>
      <c r="K16" s="71"/>
      <c r="L16" s="72" t="n">
        <f aca="false">IF($H16="Absoluto",IF($J16="","",$J16),IF($I16="","",IF($H16="Razão MT",MIN($I16*(1-Parâmetros!$B$3),$I16*(1+Parâmetros!$B$3)),$I16-Parâmetros!$B$4)))</f>
        <v>29.898</v>
      </c>
      <c r="M16" s="72" t="n">
        <f aca="false">IF($H16="Absoluto",IF($K16="","",$K16),IF($I16="","",IF($H16="Razão MT",MAX($I16*(1-Parâmetros!$B$3),$I16*(1+Parâmetros!$B$3)),$I16+Parâmetros!$B$4)))</f>
        <v>36.542</v>
      </c>
      <c r="N16" s="71" t="n">
        <v>9.06</v>
      </c>
      <c r="O16" s="74" t="str">
        <f aca="false">IF(OR(N16="",$L16="",$M16=""),"",IF($E16="+",IF(N16&gt;$M16,"Força",IF(N16&lt;$L16,"Fraqueza","Neutro")),IF(N16&lt;$L16,"Força",IF(N16&gt;$M16,"Fraqueza","Neutro"))))</f>
        <v>Fraqueza</v>
      </c>
      <c r="P16" s="71" t="n">
        <v>19.41</v>
      </c>
      <c r="Q16" s="74" t="str">
        <f aca="false">IF(OR(P16="",$L16="",$M16=""),"",IF($E16="+",IF(P16&gt;$M16,"Força",IF(P16&lt;$L16,"Fraqueza","Neutro")),IF(P16&lt;$L16,"Força",IF(P16&gt;$M16,"Fraqueza","Neutro"))))</f>
        <v>Fraqueza</v>
      </c>
      <c r="R16" s="71" t="n">
        <v>15.95</v>
      </c>
      <c r="S16" s="74" t="str">
        <f aca="false">IF(OR(R16="",$L16="",$M16=""),"",IF($E16="+",IF(R16&gt;$M16,"Força",IF(R16&lt;$L16,"Fraqueza","Neutro")),IF(R16&lt;$L16,"Força",IF(R16&gt;$M16,"Fraqueza","Neutro"))))</f>
        <v>Fraqueza</v>
      </c>
      <c r="T16" s="71" t="n">
        <v>19.4</v>
      </c>
      <c r="U16" s="74" t="str">
        <f aca="false">IF(OR(T16="",$L16="",$M16=""),"",IF($E16="+",IF(T16&gt;$M16,"Força",IF(T16&lt;$L16,"Fraqueza","Neutro")),IF(T16&lt;$L16,"Força",IF(T16&gt;$M16,"Fraqueza","Neutro"))))</f>
        <v>Fraqueza</v>
      </c>
      <c r="V16" s="71" t="n">
        <v>21.49</v>
      </c>
      <c r="W16" s="74" t="str">
        <f aca="false">IF(OR(V16="",$L16="",$M16=""),"",IF($E16="+",IF(V16&gt;$M16,"Força",IF(V16&lt;$L16,"Fraqueza","Neutro")),IF(V16&lt;$L16,"Força",IF(V16&gt;$M16,"Fraqueza","Neutro"))))</f>
        <v>Fraqueza</v>
      </c>
      <c r="X16" s="71" t="n">
        <v>17.26</v>
      </c>
      <c r="Y16" s="74" t="str">
        <f aca="false">IF(OR(X16="",$L16="",$M16=""),"",IF($E16="+",IF(X16&gt;$M16,"Força",IF(X16&lt;$L16,"Fraqueza","Neutro")),IF(X16&lt;$L16,"Força",IF(X16&gt;$M16,"Fraqueza","Neutro"))))</f>
        <v>Fraqueza</v>
      </c>
      <c r="Z16" s="71" t="n">
        <v>14.41</v>
      </c>
      <c r="AA16" s="74" t="str">
        <f aca="false">IF(OR(Z16="",$L16="",$M16=""),"",IF($E16="+",IF(Z16&gt;$M16,"Força",IF(Z16&lt;$L16,"Fraqueza","Neutro")),IF(Z16&lt;$L16,"Força",IF(Z16&gt;$M16,"Fraqueza","Neutro"))))</f>
        <v>Fraqueza</v>
      </c>
      <c r="AB16" s="71" t="n">
        <v>32.17</v>
      </c>
      <c r="AC16" s="74" t="str">
        <f aca="false">IF(OR(AB16="",$L16="",$M16=""),"",IF($E16="+",IF(AB16&gt;$M16,"Força",IF(AB16&lt;$L16,"Fraqueza","Neutro")),IF(AB16&lt;$L16,"Força",IF(AB16&gt;$M16,"Fraqueza","Neutro"))))</f>
        <v>Neutro</v>
      </c>
      <c r="AD16" s="71" t="n">
        <v>14.51</v>
      </c>
      <c r="AE16" s="74" t="str">
        <f aca="false">IF(OR(AD16="",$L16="",$M16=""),"",IF($E16="+",IF(AD16&gt;$M16,"Força",IF(AD16&lt;$L16,"Fraqueza","Neutro")),IF(AD16&lt;$L16,"Força",IF(AD16&gt;$M16,"Fraqueza","Neutro"))))</f>
        <v>Fraqueza</v>
      </c>
      <c r="AF16" s="71" t="n">
        <v>16.35</v>
      </c>
      <c r="AG16" s="74" t="str">
        <f aca="false">IF(OR(AF16="",$L16="",$M16=""),"",IF($E16="+",IF(AF16&gt;$M16,"Força",IF(AF16&lt;$L16,"Fraqueza","Neutro")),IF(AF16&lt;$L16,"Força",IF(AF16&gt;$M16,"Fraqueza","Neutro"))))</f>
        <v>Fraqueza</v>
      </c>
      <c r="AH16" s="71" t="n">
        <v>13.06</v>
      </c>
      <c r="AI16" s="74" t="str">
        <f aca="false">IF(OR(AH16="",$L16="",$M16=""),"",IF($E16="+",IF(AH16&gt;$M16,"Força",IF(AH16&lt;$L16,"Fraqueza","Neutro")),IF(AH16&lt;$L16,"Força",IF(AH16&gt;$M16,"Fraqueza","Neutro"))))</f>
        <v>Fraqueza</v>
      </c>
      <c r="AJ16" s="71" t="n">
        <v>36.86</v>
      </c>
      <c r="AK16" s="74" t="str">
        <f aca="false">IF(OR(AJ16="",$L16="",$M16=""),"",IF($E16="+",IF(AJ16&gt;$M16,"Força",IF(AJ16&lt;$L16,"Fraqueza","Neutro")),IF(AJ16&lt;$L16,"Força",IF(AJ16&gt;$M16,"Fraqueza","Neutro"))))</f>
        <v>Força</v>
      </c>
      <c r="AL16" s="71" t="n">
        <v>16.12</v>
      </c>
      <c r="AM16" s="74" t="str">
        <f aca="false">IF(OR(AL16="",$L16="",$M16=""),"",IF($E16="+",IF(AL16&gt;$M16,"Força",IF(AL16&lt;$L16,"Fraqueza","Neutro")),IF(AL16&lt;$L16,"Força",IF(AL16&gt;$M16,"Fraqueza","Neutro"))))</f>
        <v>Fraqueza</v>
      </c>
    </row>
    <row r="17" customFormat="false" ht="34.5" hidden="false" customHeight="true" outlineLevel="0" collapsed="false">
      <c r="A17" s="79" t="s">
        <v>142</v>
      </c>
      <c r="B17" s="80" t="s">
        <v>272</v>
      </c>
      <c r="C17" s="80" t="s">
        <v>273</v>
      </c>
      <c r="D17" s="79" t="s">
        <v>264</v>
      </c>
      <c r="E17" s="70" t="s">
        <v>243</v>
      </c>
      <c r="F17" s="80" t="s">
        <v>244</v>
      </c>
      <c r="G17" s="70" t="n">
        <v>2023</v>
      </c>
      <c r="H17" s="70" t="s">
        <v>249</v>
      </c>
      <c r="I17" s="71" t="n">
        <v>74620.05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67158.045</v>
      </c>
      <c r="M17" s="72" t="n">
        <f aca="false">IF($H17="Absoluto",IF($K17="","",$K17),IF($I17="","",IF($H17="Razão MT",MAX($I17*(1-Parâmetros!$B$3),$I17*(1+Parâmetros!$B$3)),$I17+Parâmetros!$B$4)))</f>
        <v>82082.055</v>
      </c>
      <c r="N17" s="81" t="n">
        <v>19806.58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81" t="n">
        <v>31174.15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81" t="n">
        <v>27693.14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81" t="n">
        <v>39644.82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81" t="n">
        <v>167482.75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81" t="n">
        <v>48349.24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81" t="n">
        <v>59335.82</v>
      </c>
      <c r="AA17" s="74" t="str">
        <f aca="false">IF(OR(Z17="",$L17="",$M17=""),"",IF($E17="+",IF(Z17&gt;$M17,"Força",IF(Z17&lt;$L17,"Fraqueza","Neutro")),IF(Z17&lt;$L17,"Força",IF(Z17&gt;$M17,"Fraqueza","Neutro"))))</f>
        <v>Fraqueza</v>
      </c>
      <c r="AB17" s="81" t="n">
        <v>43433.97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81" t="n">
        <v>33510.51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81" t="n">
        <v>27609.14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81" t="n">
        <v>31726.19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81" t="n">
        <v>67650.09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81" t="n">
        <v>48781.11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138</v>
      </c>
      <c r="B18" s="80" t="s">
        <v>272</v>
      </c>
      <c r="C18" s="80" t="s">
        <v>274</v>
      </c>
      <c r="D18" s="79" t="s">
        <v>251</v>
      </c>
      <c r="E18" s="70" t="s">
        <v>275</v>
      </c>
      <c r="F18" s="80" t="s">
        <v>244</v>
      </c>
      <c r="G18" s="70" t="n">
        <v>2021</v>
      </c>
      <c r="H18" s="70" t="s">
        <v>253</v>
      </c>
      <c r="I18" s="71" t="n">
        <v>11.89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9.89</v>
      </c>
      <c r="M18" s="72" t="n">
        <f aca="false">IF($H18="Absoluto",IF($K18="","",$K18),IF($I18="","",IF($H18="Razão MT",MAX($I18*(1-Parâmetros!$B$3),$I18*(1+Parâmetros!$B$3)),$I18+Parâmetros!$B$4)))</f>
        <v>13.89</v>
      </c>
      <c r="N18" s="82" t="n">
        <v>45.95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2" t="n">
        <v>30.82</v>
      </c>
      <c r="Q18" s="74" t="str">
        <f aca="false">IF(OR(P18="",$L18="",$M18=""),"",IF($E18="+",IF(P18&gt;$M18,"Força",IF(P18&lt;$L18,"Fraqueza","Neutro")),IF(P18&lt;$L18,"Força",IF(P18&gt;$M18,"Fraqueza","Neutro"))))</f>
        <v>Fraqueza</v>
      </c>
      <c r="R18" s="82" t="n">
        <v>29.61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2" t="n">
        <v>26.83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2" t="n">
        <v>5.88</v>
      </c>
      <c r="W18" s="74" t="str">
        <f aca="false">IF(OR(V18="",$L18="",$M18=""),"",IF($E18="+",IF(V18&gt;$M18,"Força",IF(V18&lt;$L18,"Fraqueza","Neutro")),IF(V18&lt;$L18,"Força",IF(V18&gt;$M18,"Fraqueza","Neutro"))))</f>
        <v>Força</v>
      </c>
      <c r="X18" s="82" t="n">
        <v>16.77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2" t="n">
        <v>18.67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2" t="n">
        <v>25.62</v>
      </c>
      <c r="AC18" s="74" t="str">
        <f aca="false">IF(OR(AB18="",$L18="",$M18=""),"",IF($E18="+",IF(AB18&gt;$M18,"Força",IF(AB18&lt;$L18,"Fraqueza","Neutro")),IF(AB18&lt;$L18,"Força",IF(AB18&gt;$M18,"Fraqueza","Neutro"))))</f>
        <v>Fraqueza</v>
      </c>
      <c r="AD18" s="82" t="n">
        <v>24.97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2" t="n">
        <v>33.23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2" t="n">
        <v>28.79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2" t="n">
        <v>11.66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2" t="n">
        <v>15.78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199</v>
      </c>
      <c r="B19" s="80" t="s">
        <v>272</v>
      </c>
      <c r="C19" s="80" t="s">
        <v>276</v>
      </c>
      <c r="D19" s="79" t="s">
        <v>277</v>
      </c>
      <c r="E19" s="70" t="s">
        <v>243</v>
      </c>
      <c r="F19" s="80" t="s">
        <v>278</v>
      </c>
      <c r="G19" s="70" t="n">
        <v>2024</v>
      </c>
      <c r="H19" s="70" t="s">
        <v>249</v>
      </c>
      <c r="I19" s="71" t="n">
        <v>31.51</v>
      </c>
      <c r="J19" s="71"/>
      <c r="K19" s="71"/>
      <c r="L19" s="72" t="n">
        <f aca="false">IF($H19="Absoluto",IF($J19="","",$J19),IF($I19="","",IF($H19="Razão MT",MIN($I19*(1-Parâmetros!$B$3),$I19*(1+Parâmetros!$B$3)),$I19-Parâmetros!$B$4)))</f>
        <v>28.359</v>
      </c>
      <c r="M19" s="72" t="n">
        <f aca="false">IF($H19="Absoluto",IF($K19="","",$K19),IF($I19="","",IF($H19="Razão MT",MAX($I19*(1-Parâmetros!$B$3),$I19*(1+Parâmetros!$B$3)),$I19+Parâmetros!$B$4)))</f>
        <v>34.661</v>
      </c>
      <c r="N19" s="71" t="n">
        <v>8.4</v>
      </c>
      <c r="O19" s="74" t="str">
        <f aca="false">IF(OR(N19="",$L19="",$M19=""),"",IF($E19="+",IF(N19&gt;$M19,"Força",IF(N19&lt;$L19,"Fraqueza","Neutro")),IF(N19&lt;$L19,"Força",IF(N19&gt;$M19,"Fraqueza","Neutro"))))</f>
        <v>Fraqueza</v>
      </c>
      <c r="P19" s="71" t="n">
        <v>18.4</v>
      </c>
      <c r="Q19" s="74" t="str">
        <f aca="false">IF(OR(P19="",$L19="",$M19=""),"",IF($E19="+",IF(P19&gt;$M19,"Força",IF(P19&lt;$L19,"Fraqueza","Neutro")),IF(P19&lt;$L19,"Força",IF(P19&gt;$M19,"Fraqueza","Neutro"))))</f>
        <v>Fraqueza</v>
      </c>
      <c r="R19" s="71" t="n">
        <v>11.88</v>
      </c>
      <c r="S19" s="74" t="str">
        <f aca="false">IF(OR(R19="",$L19="",$M19=""),"",IF($E19="+",IF(R19&gt;$M19,"Força",IF(R19&lt;$L19,"Fraqueza","Neutro")),IF(R19&lt;$L19,"Força",IF(R19&gt;$M19,"Fraqueza","Neutro"))))</f>
        <v>Fraqueza</v>
      </c>
      <c r="T19" s="71" t="n">
        <v>14.32</v>
      </c>
      <c r="U19" s="74" t="str">
        <f aca="false">IF(OR(T19="",$L19="",$M19=""),"",IF($E19="+",IF(T19&gt;$M19,"Força",IF(T19&lt;$L19,"Fraqueza","Neutro")),IF(T19&lt;$L19,"Força",IF(T19&gt;$M19,"Fraqueza","Neutro"))))</f>
        <v>Fraqueza</v>
      </c>
      <c r="V19" s="71" t="n">
        <v>37.5</v>
      </c>
      <c r="W19" s="74" t="str">
        <f aca="false">IF(OR(V19="",$L19="",$M19=""),"",IF($E19="+",IF(V19&gt;$M19,"Força",IF(V19&lt;$L19,"Fraqueza","Neutro")),IF(V19&lt;$L19,"Força",IF(V19&gt;$M19,"Fraqueza","Neutro"))))</f>
        <v>Força</v>
      </c>
      <c r="X19" s="71" t="n">
        <v>17.31</v>
      </c>
      <c r="Y19" s="74" t="str">
        <f aca="false">IF(OR(X19="",$L19="",$M19=""),"",IF($E19="+",IF(X19&gt;$M19,"Força",IF(X19&lt;$L19,"Fraqueza","Neutro")),IF(X19&lt;$L19,"Força",IF(X19&gt;$M19,"Fraqueza","Neutro"))))</f>
        <v>Fraqueza</v>
      </c>
      <c r="Z19" s="71" t="n">
        <v>30.4</v>
      </c>
      <c r="AA19" s="74" t="str">
        <f aca="false">IF(OR(Z19="",$L19="",$M19=""),"",IF($E19="+",IF(Z19&gt;$M19,"Força",IF(Z19&lt;$L19,"Fraqueza","Neutro")),IF(Z19&lt;$L19,"Força",IF(Z19&gt;$M19,"Fraqueza","Neutro"))))</f>
        <v>Neutro</v>
      </c>
      <c r="AB19" s="71" t="n">
        <v>22.66</v>
      </c>
      <c r="AC19" s="74" t="str">
        <f aca="false">IF(OR(AB19="",$L19="",$M19=""),"",IF($E19="+",IF(AB19&gt;$M19,"Força",IF(AB19&lt;$L19,"Fraqueza","Neutro")),IF(AB19&lt;$L19,"Força",IF(AB19&gt;$M19,"Fraqueza","Neutro"))))</f>
        <v>Fraqueza</v>
      </c>
      <c r="AD19" s="71" t="n">
        <v>24.35</v>
      </c>
      <c r="AE19" s="74" t="str">
        <f aca="false">IF(OR(AD19="",$L19="",$M19=""),"",IF($E19="+",IF(AD19&gt;$M19,"Força",IF(AD19&lt;$L19,"Fraqueza","Neutro")),IF(AD19&lt;$L19,"Força",IF(AD19&gt;$M19,"Fraqueza","Neutro"))))</f>
        <v>Fraqueza</v>
      </c>
      <c r="AF19" s="71" t="n">
        <v>15.75</v>
      </c>
      <c r="AG19" s="74" t="str">
        <f aca="false">IF(OR(AF19="",$L19="",$M19=""),"",IF($E19="+",IF(AF19&gt;$M19,"Força",IF(AF19&lt;$L19,"Fraqueza","Neutro")),IF(AF19&lt;$L19,"Força",IF(AF19&gt;$M19,"Fraqueza","Neutro"))))</f>
        <v>Fraqueza</v>
      </c>
      <c r="AH19" s="71" t="n">
        <v>16.43</v>
      </c>
      <c r="AI19" s="74" t="str">
        <f aca="false">IF(OR(AH19="",$L19="",$M19=""),"",IF($E19="+",IF(AH19&gt;$M19,"Força",IF(AH19&lt;$L19,"Fraqueza","Neutro")),IF(AH19&lt;$L19,"Força",IF(AH19&gt;$M19,"Fraqueza","Neutro"))))</f>
        <v>Fraqueza</v>
      </c>
      <c r="AJ19" s="71" t="n">
        <v>32.01</v>
      </c>
      <c r="AK19" s="74" t="str">
        <f aca="false">IF(OR(AJ19="",$L19="",$M19=""),"",IF($E19="+",IF(AJ19&gt;$M19,"Força",IF(AJ19&lt;$L19,"Fraqueza","Neutro")),IF(AJ19&lt;$L19,"Força",IF(AJ19&gt;$M19,"Fraqueza","Neutro"))))</f>
        <v>Neutro</v>
      </c>
      <c r="AL19" s="71" t="n">
        <v>19.67</v>
      </c>
      <c r="AM19" s="74" t="str">
        <f aca="false">IF(OR(AL19="",$L19="",$M19=""),"",IF($E19="+",IF(AL19&gt;$M19,"Força",IF(AL19&lt;$L19,"Fraqueza","Neutro")),IF(AL19&lt;$L19,"Força",IF(AL19&gt;$M19,"Fraqueza","Neutro"))))</f>
        <v>Fraqueza</v>
      </c>
    </row>
    <row r="20" customFormat="false" ht="34.5" hidden="false" customHeight="true" outlineLevel="0" collapsed="false">
      <c r="A20" s="79" t="s">
        <v>202</v>
      </c>
      <c r="B20" s="80" t="s">
        <v>272</v>
      </c>
      <c r="C20" s="80" t="s">
        <v>279</v>
      </c>
      <c r="D20" s="79" t="s">
        <v>257</v>
      </c>
      <c r="E20" s="70" t="s">
        <v>275</v>
      </c>
      <c r="F20" s="80" t="s">
        <v>262</v>
      </c>
      <c r="G20" s="70" t="n">
        <v>2024</v>
      </c>
      <c r="H20" s="70" t="s">
        <v>249</v>
      </c>
      <c r="I20" s="83" t="n">
        <v>0.1254</v>
      </c>
      <c r="J20" s="71"/>
      <c r="K20" s="71"/>
      <c r="L20" s="72" t="n">
        <f aca="false">IF($H20="Absoluto",IF($J20="","",$J20),IF($I20="","",IF($H20="Razão MT",MIN($I20*(1-Parâmetros!$B$3),$I20*(1+Parâmetros!$B$3)),$I20-Parâmetros!$B$4)))</f>
        <v>0.11286</v>
      </c>
      <c r="M20" s="72" t="n">
        <f aca="false">IF($H20="Absoluto",IF($K20="","",$K20),IF($I20="","",IF($H20="Razão MT",MAX($I20*(1-Parâmetros!$B$3),$I20*(1+Parâmetros!$B$3)),$I20+Parâmetros!$B$4)))</f>
        <v>0.13794</v>
      </c>
      <c r="N20" s="83" t="n">
        <v>0.2519</v>
      </c>
      <c r="O20" s="74" t="str">
        <f aca="false">IF(OR(N20="",$L20="",$M20=""),"",IF($E20="+",IF(N20&gt;$M20,"Força",IF(N20&lt;$L20,"Fraqueza","Neutro")),IF(N20&lt;$L20,"Força",IF(N20&gt;$M20,"Fraqueza","Neutro"))))</f>
        <v>Fraqueza</v>
      </c>
      <c r="P20" s="83" t="n">
        <v>0.1286</v>
      </c>
      <c r="Q20" s="74" t="str">
        <f aca="false">IF(OR(P20="",$L20="",$M20=""),"",IF($E20="+",IF(P20&gt;$M20,"Força",IF(P20&lt;$L20,"Fraqueza","Neutro")),IF(P20&lt;$L20,"Força",IF(P20&gt;$M20,"Fraqueza","Neutro"))))</f>
        <v>Neutro</v>
      </c>
      <c r="R20" s="83" t="n">
        <v>0.1849</v>
      </c>
      <c r="S20" s="74" t="str">
        <f aca="false">IF(OR(R20="",$L20="",$M20=""),"",IF($E20="+",IF(R20&gt;$M20,"Força",IF(R20&lt;$L20,"Fraqueza","Neutro")),IF(R20&lt;$L20,"Força",IF(R20&gt;$M20,"Fraqueza","Neutro"))))</f>
        <v>Fraqueza</v>
      </c>
      <c r="T20" s="83" t="n">
        <v>0.3147</v>
      </c>
      <c r="U20" s="74" t="str">
        <f aca="false">IF(OR(T20="",$L20="",$M20=""),"",IF($E20="+",IF(T20&gt;$M20,"Força",IF(T20&lt;$L20,"Fraqueza","Neutro")),IF(T20&lt;$L20,"Força",IF(T20&gt;$M20,"Fraqueza","Neutro"))))</f>
        <v>Fraqueza</v>
      </c>
      <c r="V20" s="83" t="n">
        <v>0.363</v>
      </c>
      <c r="W20" s="74" t="str">
        <f aca="false">IF(OR(V20="",$L20="",$M20=""),"",IF($E20="+",IF(V20&gt;$M20,"Força",IF(V20&lt;$L20,"Fraqueza","Neutro")),IF(V20&lt;$L20,"Força",IF(V20&gt;$M20,"Fraqueza","Neutro"))))</f>
        <v>Fraqueza</v>
      </c>
      <c r="X20" s="83" t="n">
        <v>0.2275</v>
      </c>
      <c r="Y20" s="74" t="str">
        <f aca="false">IF(OR(X20="",$L20="",$M20=""),"",IF($E20="+",IF(X20&gt;$M20,"Força",IF(X20&lt;$L20,"Fraqueza","Neutro")),IF(X20&lt;$L20,"Força",IF(X20&gt;$M20,"Fraqueza","Neutro"))))</f>
        <v>Fraqueza</v>
      </c>
      <c r="Z20" s="83" t="n">
        <v>0.3954</v>
      </c>
      <c r="AA20" s="74" t="str">
        <f aca="false">IF(OR(Z20="",$L20="",$M20=""),"",IF($E20="+",IF(Z20&gt;$M20,"Força",IF(Z20&lt;$L20,"Fraqueza","Neutro")),IF(Z20&lt;$L20,"Força",IF(Z20&gt;$M20,"Fraqueza","Neutro"))))</f>
        <v>Fraqueza</v>
      </c>
      <c r="AB20" s="83" t="n">
        <v>0.1288</v>
      </c>
      <c r="AC20" s="74" t="str">
        <f aca="false">IF(OR(AB20="",$L20="",$M20=""),"",IF($E20="+",IF(AB20&gt;$M20,"Força",IF(AB20&lt;$L20,"Fraqueza","Neutro")),IF(AB20&lt;$L20,"Força",IF(AB20&gt;$M20,"Fraqueza","Neutro"))))</f>
        <v>Neutro</v>
      </c>
      <c r="AD20" s="83" t="n">
        <v>0.2738</v>
      </c>
      <c r="AE20" s="74" t="str">
        <f aca="false">IF(OR(AD20="",$L20="",$M20=""),"",IF($E20="+",IF(AD20&gt;$M20,"Força",IF(AD20&lt;$L20,"Fraqueza","Neutro")),IF(AD20&lt;$L20,"Força",IF(AD20&gt;$M20,"Fraqueza","Neutro"))))</f>
        <v>Fraqueza</v>
      </c>
      <c r="AF20" s="83" t="n">
        <v>0.1845</v>
      </c>
      <c r="AG20" s="74" t="str">
        <f aca="false">IF(OR(AF20="",$L20="",$M20=""),"",IF($E20="+",IF(AF20&gt;$M20,"Força",IF(AF20&lt;$L20,"Fraqueza","Neutro")),IF(AF20&lt;$L20,"Força",IF(AF20&gt;$M20,"Fraqueza","Neutro"))))</f>
        <v>Fraqueza</v>
      </c>
      <c r="AH20" s="83" t="n">
        <v>0.3713</v>
      </c>
      <c r="AI20" s="74" t="str">
        <f aca="false">IF(OR(AH20="",$L20="",$M20=""),"",IF($E20="+",IF(AH20&gt;$M20,"Força",IF(AH20&lt;$L20,"Fraqueza","Neutro")),IF(AH20&lt;$L20,"Força",IF(AH20&gt;$M20,"Fraqueza","Neutro"))))</f>
        <v>Fraqueza</v>
      </c>
      <c r="AJ20" s="83" t="n">
        <v>0.1166</v>
      </c>
      <c r="AK20" s="74" t="str">
        <f aca="false">IF(OR(AJ20="",$L20="",$M20=""),"",IF($E20="+",IF(AJ20&gt;$M20,"Força",IF(AJ20&lt;$L20,"Fraqueza","Neutro")),IF(AJ20&lt;$L20,"Força",IF(AJ20&gt;$M20,"Fraqueza","Neutro"))))</f>
        <v>Neutro</v>
      </c>
      <c r="AL20" s="83" t="n">
        <v>0.2362</v>
      </c>
      <c r="AM20" s="74" t="str">
        <f aca="false">IF(OR(AL20="",$L20="",$M20=""),"",IF($E20="+",IF(AL20&gt;$M20,"Força",IF(AL20&lt;$L20,"Fraqueza","Neutro")),IF(AL20&lt;$L20,"Força",IF(AL20&gt;$M20,"Fraqueza","Neutro"))))</f>
        <v>Fraqueza</v>
      </c>
    </row>
    <row r="21" customFormat="false" ht="34.5" hidden="false" customHeight="true" outlineLevel="0" collapsed="false">
      <c r="A21" s="79" t="s">
        <v>160</v>
      </c>
      <c r="B21" s="80" t="s">
        <v>272</v>
      </c>
      <c r="C21" s="80" t="s">
        <v>280</v>
      </c>
      <c r="D21" s="79" t="s">
        <v>251</v>
      </c>
      <c r="E21" s="70" t="s">
        <v>243</v>
      </c>
      <c r="F21" s="80" t="s">
        <v>281</v>
      </c>
      <c r="G21" s="70" t="n">
        <v>2022</v>
      </c>
      <c r="H21" s="70" t="s">
        <v>253</v>
      </c>
      <c r="I21" s="71" t="n">
        <v>18.24</v>
      </c>
      <c r="J21" s="71"/>
      <c r="K21" s="71"/>
      <c r="L21" s="72" t="n">
        <f aca="false">IF($H21="Absoluto",IF($J21="","",$J21),IF($I21="","",IF($H21="Razão MT",MIN($I21*(1-Parâmetros!$B$3),$I21*(1+Parâmetros!$B$3)),$I21-Parâmetros!$B$4)))</f>
        <v>16.24</v>
      </c>
      <c r="M21" s="72" t="n">
        <f aca="false">IF($H21="Absoluto",IF($K21="","",$K21),IF($I21="","",IF($H21="Razão MT",MAX($I21*(1-Parâmetros!$B$3),$I21*(1+Parâmetros!$B$3)),$I21+Parâmetros!$B$4)))</f>
        <v>20.24</v>
      </c>
      <c r="N21" s="71" t="n">
        <v>6.34</v>
      </c>
      <c r="O21" s="74" t="str">
        <f aca="false">IF(OR(N21="",$L21="",$M21=""),"",IF($E21="+",IF(N21&gt;$M21,"Força",IF(N21&lt;$L21,"Fraqueza","Neutro")),IF(N21&lt;$L21,"Força",IF(N21&gt;$M21,"Fraqueza","Neutro"))))</f>
        <v>Fraqueza</v>
      </c>
      <c r="P21" s="71" t="n">
        <v>17.68</v>
      </c>
      <c r="Q21" s="74" t="str">
        <f aca="false">IF(OR(P21="",$L21="",$M21=""),"",IF($E21="+",IF(P21&gt;$M21,"Força",IF(P21&lt;$L21,"Fraqueza","Neutro")),IF(P21&lt;$L21,"Força",IF(P21&gt;$M21,"Fraqueza","Neutro"))))</f>
        <v>Neutro</v>
      </c>
      <c r="R21" s="71" t="n">
        <v>5.5</v>
      </c>
      <c r="S21" s="74" t="str">
        <f aca="false">IF(OR(R21="",$L21="",$M21=""),"",IF($E21="+",IF(R21&gt;$M21,"Força",IF(R21&lt;$L21,"Fraqueza","Neutro")),IF(R21&lt;$L21,"Força",IF(R21&gt;$M21,"Fraqueza","Neutro"))))</f>
        <v>Fraqueza</v>
      </c>
      <c r="T21" s="71" t="n">
        <v>5.76</v>
      </c>
      <c r="U21" s="74" t="str">
        <f aca="false">IF(OR(T21="",$L21="",$M21=""),"",IF($E21="+",IF(T21&gt;$M21,"Força",IF(T21&lt;$L21,"Fraqueza","Neutro")),IF(T21&lt;$L21,"Força",IF(T21&gt;$M21,"Fraqueza","Neutro"))))</f>
        <v>Fraqueza</v>
      </c>
      <c r="V21" s="71" t="n">
        <v>11.87</v>
      </c>
      <c r="W21" s="74" t="str">
        <f aca="false">IF(OR(V21="",$L21="",$M21=""),"",IF($E21="+",IF(V21&gt;$M21,"Força",IF(V21&lt;$L21,"Fraqueza","Neutro")),IF(V21&lt;$L21,"Força",IF(V21&gt;$M21,"Fraqueza","Neutro"))))</f>
        <v>Fraqueza</v>
      </c>
      <c r="X21" s="71" t="n">
        <v>11.71</v>
      </c>
      <c r="Y21" s="74" t="str">
        <f aca="false">IF(OR(X21="",$L21="",$M21=""),"",IF($E21="+",IF(X21&gt;$M21,"Força",IF(X21&lt;$L21,"Fraqueza","Neutro")),IF(X21&lt;$L21,"Força",IF(X21&gt;$M21,"Fraqueza","Neutro"))))</f>
        <v>Fraqueza</v>
      </c>
      <c r="Z21" s="71" t="n">
        <v>7.14</v>
      </c>
      <c r="AA21" s="74" t="str">
        <f aca="false">IF(OR(Z21="",$L21="",$M21=""),"",IF($E21="+",IF(Z21&gt;$M21,"Força",IF(Z21&lt;$L21,"Fraqueza","Neutro")),IF(Z21&lt;$L21,"Força",IF(Z21&gt;$M21,"Fraqueza","Neutro"))))</f>
        <v>Fraqueza</v>
      </c>
      <c r="AB21" s="71" t="n">
        <v>14.35</v>
      </c>
      <c r="AC21" s="74" t="str">
        <f aca="false">IF(OR(AB21="",$L21="",$M21=""),"",IF($E21="+",IF(AB21&gt;$M21,"Força",IF(AB21&lt;$L21,"Fraqueza","Neutro")),IF(AB21&lt;$L21,"Força",IF(AB21&gt;$M21,"Fraqueza","Neutro"))))</f>
        <v>Fraqueza</v>
      </c>
      <c r="AD21" s="71" t="n">
        <v>5.15</v>
      </c>
      <c r="AE21" s="74" t="str">
        <f aca="false">IF(OR(AD21="",$L21="",$M21=""),"",IF($E21="+",IF(AD21&gt;$M21,"Força",IF(AD21&lt;$L21,"Fraqueza","Neutro")),IF(AD21&lt;$L21,"Força",IF(AD21&gt;$M21,"Fraqueza","Neutro"))))</f>
        <v>Fraqueza</v>
      </c>
      <c r="AF21" s="71" t="n">
        <v>9.51</v>
      </c>
      <c r="AG21" s="74" t="str">
        <f aca="false">IF(OR(AF21="",$L21="",$M21=""),"",IF($E21="+",IF(AF21&gt;$M21,"Força",IF(AF21&lt;$L21,"Fraqueza","Neutro")),IF(AF21&lt;$L21,"Força",IF(AF21&gt;$M21,"Fraqueza","Neutro"))))</f>
        <v>Fraqueza</v>
      </c>
      <c r="AH21" s="71" t="n">
        <v>6.54</v>
      </c>
      <c r="AI21" s="74" t="str">
        <f aca="false">IF(OR(AH21="",$L21="",$M21=""),"",IF($E21="+",IF(AH21&gt;$M21,"Força",IF(AH21&lt;$L21,"Fraqueza","Neutro")),IF(AH21&lt;$L21,"Força",IF(AH21&gt;$M21,"Fraqueza","Neutro"))))</f>
        <v>Fraqueza</v>
      </c>
      <c r="AJ21" s="71" t="n">
        <v>21.61</v>
      </c>
      <c r="AK21" s="74" t="str">
        <f aca="false">IF(OR(AJ21="",$L21="",$M21=""),"",IF($E21="+",IF(AJ21&gt;$M21,"Força",IF(AJ21&lt;$L21,"Fraqueza","Neutro")),IF(AJ21&lt;$L21,"Força",IF(AJ21&gt;$M21,"Fraqueza","Neutro"))))</f>
        <v>Força</v>
      </c>
      <c r="AL21" s="71" t="n">
        <v>9.96</v>
      </c>
      <c r="AM21" s="74" t="str">
        <f aca="false">IF(OR(AL21="",$L21="",$M21=""),"",IF($E21="+",IF(AL21&gt;$M21,"Força",IF(AL21&lt;$L21,"Fraqueza","Neutro")),IF(AL21&lt;$L21,"Força",IF(AL21&gt;$M21,"Fraqueza","Neutro"))))</f>
        <v>Fraqueza</v>
      </c>
    </row>
    <row r="23" customFormat="false" ht="15" hidden="false" customHeight="true" outlineLevel="0" collapsed="false">
      <c r="A23" s="33" t="s">
        <v>282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283</v>
      </c>
    </row>
    <row r="2" customFormat="false" ht="15" hidden="false" customHeight="true" outlineLevel="0" collapsed="false">
      <c r="A2" s="3" t="s">
        <v>284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228</v>
      </c>
      <c r="D4" s="84" t="s">
        <v>66</v>
      </c>
      <c r="E4" s="84" t="s">
        <v>285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286</v>
      </c>
    </row>
    <row r="6" customFormat="false" ht="96" hidden="false" customHeight="true" outlineLevel="0" collapsed="false">
      <c r="A6" s="27" t="s">
        <v>287</v>
      </c>
      <c r="B6" s="27" t="s">
        <v>288</v>
      </c>
      <c r="C6" s="28" t="s">
        <v>74</v>
      </c>
      <c r="D6" s="28" t="s">
        <v>289</v>
      </c>
      <c r="E6" s="28" t="s">
        <v>290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2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291</v>
      </c>
      <c r="B7" s="27" t="s">
        <v>288</v>
      </c>
      <c r="C7" s="28" t="s">
        <v>74</v>
      </c>
      <c r="D7" s="28" t="s">
        <v>292</v>
      </c>
      <c r="E7" s="28" t="s">
        <v>293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294</v>
      </c>
      <c r="B8" s="27" t="s">
        <v>288</v>
      </c>
      <c r="C8" s="28" t="s">
        <v>266</v>
      </c>
      <c r="D8" s="28" t="s">
        <v>295</v>
      </c>
      <c r="E8" s="28" t="s">
        <v>296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297</v>
      </c>
      <c r="B9" s="27" t="s">
        <v>288</v>
      </c>
      <c r="C9" s="28" t="s">
        <v>76</v>
      </c>
      <c r="D9" s="28" t="s">
        <v>298</v>
      </c>
      <c r="E9" s="28" t="s">
        <v>299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300</v>
      </c>
      <c r="B10" s="27" t="s">
        <v>288</v>
      </c>
      <c r="C10" s="28" t="s">
        <v>272</v>
      </c>
      <c r="D10" s="28" t="s">
        <v>301</v>
      </c>
      <c r="E10" s="28" t="s">
        <v>302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2</v>
      </c>
    </row>
    <row r="11" customFormat="false" ht="96" hidden="false" customHeight="true" outlineLevel="0" collapsed="false">
      <c r="A11" s="27" t="s">
        <v>303</v>
      </c>
      <c r="B11" s="27" t="s">
        <v>288</v>
      </c>
      <c r="C11" s="28" t="s">
        <v>272</v>
      </c>
      <c r="D11" s="28" t="s">
        <v>304</v>
      </c>
      <c r="E11" s="28" t="s">
        <v>305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5" t="s">
        <v>306</v>
      </c>
      <c r="B12" s="85" t="s">
        <v>307</v>
      </c>
      <c r="C12" s="86" t="s">
        <v>74</v>
      </c>
      <c r="D12" s="86" t="s">
        <v>308</v>
      </c>
      <c r="E12" s="86" t="s">
        <v>309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2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2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5" t="s">
        <v>310</v>
      </c>
      <c r="B13" s="85" t="s">
        <v>307</v>
      </c>
      <c r="C13" s="86" t="s">
        <v>74</v>
      </c>
      <c r="D13" s="86" t="s">
        <v>311</v>
      </c>
      <c r="E13" s="86" t="s">
        <v>312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5" t="s">
        <v>313</v>
      </c>
      <c r="B14" s="85" t="s">
        <v>307</v>
      </c>
      <c r="C14" s="86" t="s">
        <v>74</v>
      </c>
      <c r="D14" s="86" t="s">
        <v>314</v>
      </c>
      <c r="E14" s="86" t="s">
        <v>315</v>
      </c>
      <c r="F14" s="70" t="n">
        <v>3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2</v>
      </c>
      <c r="O14" s="70" t="n">
        <v>3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5" t="s">
        <v>316</v>
      </c>
      <c r="B15" s="85" t="s">
        <v>307</v>
      </c>
      <c r="C15" s="86" t="s">
        <v>272</v>
      </c>
      <c r="D15" s="86" t="s">
        <v>317</v>
      </c>
      <c r="E15" s="86" t="s">
        <v>318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5" t="s">
        <v>319</v>
      </c>
      <c r="B16" s="85" t="s">
        <v>307</v>
      </c>
      <c r="C16" s="86" t="s">
        <v>266</v>
      </c>
      <c r="D16" s="86" t="s">
        <v>320</v>
      </c>
      <c r="E16" s="86" t="s">
        <v>321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322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323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324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325</v>
      </c>
      <c r="C5" s="6" t="s">
        <v>102</v>
      </c>
      <c r="D5" s="6" t="s">
        <v>31</v>
      </c>
      <c r="E5" s="6" t="s">
        <v>326</v>
      </c>
      <c r="F5" s="6" t="s">
        <v>327</v>
      </c>
      <c r="H5" s="6" t="s">
        <v>59</v>
      </c>
      <c r="I5" s="6" t="s">
        <v>325</v>
      </c>
      <c r="J5" s="6" t="s">
        <v>67</v>
      </c>
      <c r="K5" s="6" t="s">
        <v>33</v>
      </c>
      <c r="L5" s="6" t="s">
        <v>328</v>
      </c>
      <c r="M5" s="6" t="s">
        <v>329</v>
      </c>
      <c r="N5" s="6" t="s">
        <v>330</v>
      </c>
      <c r="O5" s="6" t="s">
        <v>331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8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8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7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>Força</v>
      </c>
      <c r="D12" s="88" t="n">
        <f aca="false">IF($B$2="","",INDEX('Indicadores (F-W)'!$A12:$AM12,1,$B$2))</f>
        <v>58.91</v>
      </c>
      <c r="E12" s="1" t="n">
        <f aca="false">IF(C12="Força",COUNTIF(C$6:C12,"Força"),"")</f>
        <v>2</v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>Fraqueza</v>
      </c>
      <c r="D13" s="88" t="n">
        <f aca="false">IF($B$2="","",INDEX('Indicadores (F-W)'!$A13:$AM13,1,$B$2))</f>
        <v>2345.65</v>
      </c>
      <c r="E13" s="1" t="str">
        <f aca="false">IF(C13="Força",COUNTIF(C$6:C13,"Força"),"")</f>
        <v/>
      </c>
      <c r="F13" s="1" t="n">
        <f aca="false">IF(C13="Fraqueza",COUNTIF(C$6:C13,"Fraqueza"),"")</f>
        <v>3</v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7" t="n">
        <f aca="false">IF($B$2="","",INDEX('Indicadores (F-W)'!$A14:$AM14,1,$B$2))</f>
        <v>1.3013</v>
      </c>
      <c r="E14" s="1" t="n">
        <f aca="false">IF(C14="Força",COUNTIF(C$6:C14,"Força"),"")</f>
        <v>3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>Fraqueza</v>
      </c>
      <c r="D15" s="88" t="n">
        <f aca="false">IF($B$2="","",INDEX('Indicadores (F-W)'!$A15:$AM15,1,$B$2))</f>
        <v>13.05</v>
      </c>
      <c r="E15" s="1" t="str">
        <f aca="false">IF(C15="Força",COUNTIF(C$6:C15,"Força"),"")</f>
        <v/>
      </c>
      <c r="F15" s="1" t="n">
        <f aca="false">IF(C15="Fraqueza",COUNTIF(C$6:C15,"Fraqueza"),"")</f>
        <v>4</v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>Fraqueza</v>
      </c>
      <c r="D16" s="88" t="n">
        <f aca="false">IF($B$2="","",INDEX('Indicadores (F-W)'!$A16:$AM16,1,$B$2))</f>
        <v>19.41</v>
      </c>
      <c r="E16" s="1" t="str">
        <f aca="false">IF(C16="Força",COUNTIF(C$6:C16,"Força"),"")</f>
        <v/>
      </c>
      <c r="F16" s="1" t="n">
        <f aca="false">IF(C16="Fraqueza",COUNTIF(C$6:C16,"Fraqueza"),"")</f>
        <v>5</v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9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6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90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7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>Fraqueza</v>
      </c>
      <c r="D19" s="88" t="n">
        <f aca="false">IF($B$2="","",INDEX('Indicadores (F-W)'!$A19:$AM19,1,$B$2))</f>
        <v>18.4</v>
      </c>
      <c r="E19" s="1" t="str">
        <f aca="false">IF(C19="Força",COUNTIF(C$6:C19,"Força"),"")</f>
        <v/>
      </c>
      <c r="F19" s="1" t="n">
        <f aca="false">IF(C19="Fraqueza",COUNTIF(C$6:C19,"Fraqueza"),"")</f>
        <v>8</v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>Neutro</v>
      </c>
      <c r="D20" s="88" t="n">
        <f aca="false">IF($B$2="","",INDEX('Indicadores (F-W)'!$A20:$AM20,1,$B$2))</f>
        <v>0.1286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>Neutro</v>
      </c>
      <c r="D21" s="88" t="n">
        <f aca="false">IF($B$2="","",INDEX('Indicadores (F-W)'!$A21:$AM21,1,$B$2))</f>
        <v>17.68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332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19926.55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16.6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2624.01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2299.57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0.4274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28.79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7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9.06</v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>Força</v>
      </c>
      <c r="M12" s="88" t="n">
        <f aca="false">IF('Indicadores (F-W)'!N12="","",'Indicadores (F-W)'!N12)</f>
        <v>2299.57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19806.58</v>
      </c>
      <c r="K13" s="1" t="str">
        <f aca="false">Aux!B13</f>
        <v>[Indústria] IND-03 – Remuneração média do emprego formal industrial (R$)</v>
      </c>
      <c r="L13" s="1" t="str">
        <f aca="false">'Indicadores (F-W)'!O13</f>
        <v>Fraqueza</v>
      </c>
      <c r="M13" s="88" t="n">
        <f aca="false">IF('Indicadores (F-W)'!N13="","",'Indicadores (F-W)'!N13)</f>
        <v>2624.01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45.95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7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>Fraqueza</v>
      </c>
      <c r="M15" s="88" t="n">
        <f aca="false">IF('Indicadores (F-W)'!N15="","",'Indicadores (F-W)'!N15)</f>
        <v>28.79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0.2519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>Fraqueza</v>
      </c>
      <c r="M16" s="88" t="n">
        <f aca="false">IF('Indicadores (F-W)'!N16="","",'Indicadores (F-W)'!N16)</f>
        <v>9.06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6.34</v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9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90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>Fraqueza</v>
      </c>
      <c r="M19" s="88" t="n">
        <f aca="false">IF('Indicadores (F-W)'!N19="","",'Indicadores (F-W)'!N19)</f>
        <v>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>Fraqueza</v>
      </c>
      <c r="M20" s="93" t="n">
        <f aca="false">IF('Indicadores (F-W)'!N20="","",'Indicadores (F-W)'!N20)</f>
        <v>0.2519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>Fraqueza</v>
      </c>
      <c r="M21" s="88" t="n">
        <f aca="false">IF('Indicadores (F-W)'!N21="","",'Indicadores (F-W)'!N21)</f>
        <v>6.34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335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22.65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58.91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CS-01 – Quociente locacional do VAB de serviços, exceto adm. pública (base MT) (índice)</v>
      </c>
      <c r="D10" s="18" t="n">
        <f aca="false">IFERROR(INDEX($M$6:$M$21,MATCH(3,$N$6:$N$21,0)),"")</f>
        <v>1.3013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2345.65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13.05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7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19.41</v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>Força</v>
      </c>
      <c r="M12" s="88" t="n">
        <f aca="false">IF('Indicadores (F-W)'!P12="","",'Indicadores (F-W)'!P12)</f>
        <v>58.91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31174.15</v>
      </c>
      <c r="K13" s="1" t="str">
        <f aca="false">Aux!B13</f>
        <v>[Indústria] IND-03 – Remuneração média do emprego formal industrial (R$)</v>
      </c>
      <c r="L13" s="1" t="str">
        <f aca="false">'Indicadores (F-W)'!Q13</f>
        <v>Fraqueza</v>
      </c>
      <c r="M13" s="88" t="n">
        <f aca="false">IF('Indicadores (F-W)'!P13="","",'Indicadores (F-W)'!P13)</f>
        <v>2345.65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30.82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7" t="n">
        <f aca="false">IF('Indicadores (F-W)'!P14="","",'Indicadores (F-W)'!P14)</f>
        <v>1.3013</v>
      </c>
      <c r="N14" s="1" t="n">
        <f aca="false">IF(L14="Força",COUNTIF(L$6:L14,"Força"),"")</f>
        <v>3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>Fraqueza</v>
      </c>
      <c r="M15" s="88" t="n">
        <f aca="false">IF('Indicadores (F-W)'!P15="","",'Indicadores (F-W)'!P15)</f>
        <v>13.05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>Fraqueza</v>
      </c>
      <c r="M16" s="88" t="n">
        <f aca="false">IF('Indicadores (F-W)'!P16="","",'Indicadores (F-W)'!P16)</f>
        <v>19.41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9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90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>Fraqueza</v>
      </c>
      <c r="M19" s="88" t="n">
        <f aca="false">IF('Indicadores (F-W)'!P19="","",'Indicadores (F-W)'!P19)</f>
        <v>18.4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>Neutro</v>
      </c>
      <c r="M20" s="93" t="n">
        <f aca="false">IF('Indicadores (F-W)'!P20="","",'Indicadores (F-W)'!P20)</f>
        <v>0.1286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>Neutro</v>
      </c>
      <c r="M21" s="88" t="n">
        <f aca="false">IF('Indicadores (F-W)'!P21="","",'Indicadores (F-W)'!P21)</f>
        <v>17.68</v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336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10834.24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-45.74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89.04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1956.93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0.5029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7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15.95</v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>Fraqueza</v>
      </c>
      <c r="M12" s="88" t="n">
        <f aca="false">IF('Indicadores (F-W)'!R12="","",'Indicadores (F-W)'!R12)</f>
        <v>-45.74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27693.14</v>
      </c>
      <c r="K13" s="1" t="str">
        <f aca="false">Aux!B13</f>
        <v>[Indústria] IND-03 – Remuneração média do emprego formal industrial (R$)</v>
      </c>
      <c r="L13" s="1" t="str">
        <f aca="false">'Indicadores (F-W)'!S13</f>
        <v>Fraqueza</v>
      </c>
      <c r="M13" s="88" t="n">
        <f aca="false">IF('Indicadores (F-W)'!R13="","",'Indicadores (F-W)'!R13)</f>
        <v>1956.93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29.61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7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11.88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>Força</v>
      </c>
      <c r="M15" s="88" t="n">
        <f aca="false">IF('Indicadores (F-W)'!R15="","",'Indicadores (F-W)'!R15)</f>
        <v>89.04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0.1849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>Fraqueza</v>
      </c>
      <c r="M16" s="88" t="n">
        <f aca="false">IF('Indicadores (F-W)'!R16="","",'Indicadores (F-W)'!R16)</f>
        <v>15.95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5.5</v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9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90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>Fraqueza</v>
      </c>
      <c r="M19" s="88" t="n">
        <f aca="false">IF('Indicadores (F-W)'!R19="","",'Indicadores (F-W)'!R19)</f>
        <v>11.88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>Fraqueza</v>
      </c>
      <c r="M20" s="93" t="n">
        <f aca="false">IF('Indicadores (F-W)'!R20="","",'Indicadores (F-W)'!R20)</f>
        <v>0.1849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>Fraqueza</v>
      </c>
      <c r="M21" s="88" t="n">
        <f aca="false">IF('Indicadores (F-W)'!R21="","",'Indicadores (F-W)'!R21)</f>
        <v>5.5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337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10020.12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2190.43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150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0.4636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-10.46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7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</v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>Força</v>
      </c>
      <c r="M12" s="88" t="n">
        <f aca="false">IF('Indicadores (F-W)'!T12="","",'Indicadores (F-W)'!T12)</f>
        <v>150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39644.82</v>
      </c>
      <c r="K13" s="1" t="str">
        <f aca="false">Aux!B13</f>
        <v>[Indústria] IND-03 – Remuneração média do emprego formal industrial (R$)</v>
      </c>
      <c r="L13" s="1" t="str">
        <f aca="false">'Indicadores (F-W)'!U13</f>
        <v>Fraqueza</v>
      </c>
      <c r="M13" s="88" t="n">
        <f aca="false">IF('Indicadores (F-W)'!T13="","",'Indicadores (F-W)'!T13)</f>
        <v>2190.43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26.83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7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14.32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>Fraqueza</v>
      </c>
      <c r="M15" s="88" t="n">
        <f aca="false">IF('Indicadores (F-W)'!T15="","",'Indicadores (F-W)'!T15)</f>
        <v>-10.46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0.3147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>Fraqueza</v>
      </c>
      <c r="M16" s="88" t="n">
        <f aca="false">IF('Indicadores (F-W)'!T16="","",'Indicadores (F-W)'!T16)</f>
        <v>19.4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5.76</v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9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90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>Fraqueza</v>
      </c>
      <c r="M19" s="88" t="n">
        <f aca="false">IF('Indicadores (F-W)'!T19="","",'Indicadores (F-W)'!T19)</f>
        <v>14.32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>Fraqueza</v>
      </c>
      <c r="M20" s="93" t="n">
        <f aca="false">IF('Indicadores (F-W)'!T20="","",'Indicadores (F-W)'!T20)</f>
        <v>0.3147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>Fraqueza</v>
      </c>
      <c r="M21" s="88" t="n">
        <f aca="false">IF('Indicadores (F-W)'!T21="","",'Indicadores (F-W)'!T21)</f>
        <v>5.76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338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7 item(ns)</v>
      </c>
      <c r="C6" s="11"/>
      <c r="D6" s="11"/>
      <c r="F6" s="12" t="str">
        <f aca="false">"FRAQUEZAS (W) — "&amp;COUNTIF($L$6:$L$21,"Fraqueza")&amp;" item(ns)"</f>
        <v>FRAQUEZAS (W) — 6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1503.38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26.4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0.3623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IND-01 – Quociente locacional do VAB industrial (base MT) (índice)</v>
      </c>
      <c r="D10" s="18" t="n">
        <f aca="false">IFERROR(INDEX($M$6:$M$21,MATCH(3,$N$6:$N$21,0)),"")</f>
        <v>1.2891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27.74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[Indústria] IND-02 – Variação do emprego formal na indústria em 5 anos (%)</v>
      </c>
      <c r="D11" s="18" t="n">
        <f aca="false">IFERROR(INDEX($M$6:$M$21,MATCH(4,$N$6:$N$21,0)),"")</f>
        <v>123.51</v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21.49</v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7" t="n">
        <f aca="false">IF('Indicadores (F-W)'!V11="","",'Indicadores (F-W)'!V11)</f>
        <v>1.2891</v>
      </c>
      <c r="N11" s="1" t="n">
        <f aca="false">IF(L11="Força",COUNTIF(L$6:L11,"Força"),"")</f>
        <v>3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IFERROR(INDEX($K$6:$K$21,MATCH(5,$N$6:$N$21,0)),"")</f>
        <v>[Estrutura Econômica e Fiscal] EST-01 – PIB per capita (R$)</v>
      </c>
      <c r="D12" s="18" t="n">
        <f aca="false">IFERROR(INDEX($M$6:$M$21,MATCH(5,$N$6:$N$21,0)),"")</f>
        <v>167482.75</v>
      </c>
      <c r="F12" s="19" t="n">
        <f aca="false">IF(G12="","",5)</f>
        <v>5</v>
      </c>
      <c r="G12" s="20" t="str">
        <f aca="false">IFERROR(INDEX($K$6:$K$21,MATCH(5,$O$6:$O$21,0)),"")</f>
        <v>[Estrutura Econômica e Fiscal] EST-04 – Concentração setorial do emprego formal (HHI por seção CNAE) (índice 0–1)</v>
      </c>
      <c r="H12" s="21" t="n">
        <f aca="false">IFERROR(INDEX($M$6:$M$21,MATCH(5,$O$6:$O$21,0)),"")</f>
        <v>0.363</v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>Força</v>
      </c>
      <c r="M12" s="88" t="n">
        <f aca="false">IF('Indicadores (F-W)'!V12="","",'Indicadores (F-W)'!V12)</f>
        <v>123.51</v>
      </c>
      <c r="N12" s="1" t="n">
        <f aca="false">IF(L12="Força",COUNTIF(L$6:L12,"Força"),"")</f>
        <v>4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n">
        <f aca="false">IF(C13="","",6)</f>
        <v>6</v>
      </c>
      <c r="C13" s="17" t="str">
        <f aca="false">IFERROR(INDEX($K$6:$K$21,MATCH(6,$N$6:$N$21,0)),"")</f>
        <v>[Estrutura Econômica e Fiscal] EST-02 – Participação da administração pública no VAB total (%)</v>
      </c>
      <c r="D13" s="18" t="n">
        <f aca="false">IFERROR(INDEX($M$6:$M$21,MATCH(6,$N$6:$N$21,0)),"")</f>
        <v>5.88</v>
      </c>
      <c r="F13" s="19" t="n">
        <f aca="false">IF(G13="","",6)</f>
        <v>6</v>
      </c>
      <c r="G13" s="20" t="str">
        <f aca="false">IFERROR(INDEX($K$6:$K$21,MATCH(6,$O$6:$O$21,0)),"")</f>
        <v>[Estrutura Econômica e Fiscal] EST-05 – Receitas próprias / receita corrente (%)</v>
      </c>
      <c r="H13" s="21" t="n">
        <f aca="false">IFERROR(INDEX($M$6:$M$21,MATCH(6,$O$6:$O$21,0)),"")</f>
        <v>11.87</v>
      </c>
      <c r="K13" s="1" t="str">
        <f aca="false">Aux!B13</f>
        <v>[Indústria] IND-03 – Remuneração média do emprego formal industrial (R$)</v>
      </c>
      <c r="L13" s="1" t="str">
        <f aca="false">'Indicadores (F-W)'!W13</f>
        <v>Fraqueza</v>
      </c>
      <c r="M13" s="88" t="n">
        <f aca="false">IF('Indicadores (F-W)'!V13="","",'Indicadores (F-W)'!V13)</f>
        <v>1503.38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n">
        <f aca="false">IF(C14="","",7)</f>
        <v>7</v>
      </c>
      <c r="C14" s="17" t="str">
        <f aca="false">IFERROR(INDEX($K$6:$K$21,MATCH(7,$N$6:$N$21,0)),"")</f>
        <v>[Estrutura Econômica e Fiscal] EST-03 – Vínculos formais por 100 habitantes (vínculos/100 hab.)</v>
      </c>
      <c r="D14" s="18" t="n">
        <f aca="false">IFERROR(INDEX($M$6:$M$21,MATCH(7,$N$6:$N$21,0)),"")</f>
        <v>37.5</v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7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>Fraqueza</v>
      </c>
      <c r="M15" s="88" t="n">
        <f aca="false">IF('Indicadores (F-W)'!V15="","",'Indicadores (F-W)'!V15)</f>
        <v>27.74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>Fraqueza</v>
      </c>
      <c r="M16" s="88" t="n">
        <f aca="false">IF('Indicadores (F-W)'!V16="","",'Indicadores (F-W)'!V16)</f>
        <v>21.49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9" t="n">
        <f aca="false">IF('Indicadores (F-W)'!V17="","",'Indicadores (F-W)'!V17)</f>
        <v>167482.75</v>
      </c>
      <c r="N17" s="1" t="n">
        <f aca="false">IF(L17="Força",COUNTIF(L$6:L17,"Força"),"")</f>
        <v>5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90" t="n">
        <f aca="false">IF('Indicadores (F-W)'!V18="","",'Indicadores (F-W)'!V18)</f>
        <v>5.88</v>
      </c>
      <c r="N18" s="1" t="n">
        <f aca="false">IF(L18="Força",COUNTIF(L$6:L18,"Força"),"")</f>
        <v>6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>Força</v>
      </c>
      <c r="M19" s="88" t="n">
        <f aca="false">IF('Indicadores (F-W)'!V19="","",'Indicadores (F-W)'!V19)</f>
        <v>37.5</v>
      </c>
      <c r="N19" s="1" t="n">
        <f aca="false">IF(L19="Força",COUNTIF(L$6:L19,"Força"),"")</f>
        <v>7</v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>Fraqueza</v>
      </c>
      <c r="M20" s="93" t="n">
        <f aca="false">IF('Indicadores (F-W)'!V20="","",'Indicadores (F-W)'!V20)</f>
        <v>0.363</v>
      </c>
      <c r="N20" s="1" t="str">
        <f aca="false">IF(L20="Força",COUNTIF(L$6:L20,"Força"),"")</f>
        <v/>
      </c>
      <c r="O20" s="1" t="n">
        <f aca="false">IF(L20="Fraqueza",COUNTIF(L$6:L20,"Fraqueza"),"")</f>
        <v>5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>Fraqueza</v>
      </c>
      <c r="M21" s="88" t="n">
        <f aca="false">IF('Indicadores (F-W)'!V21="","",'Indicadores (F-W)'!V21)</f>
        <v>11.87</v>
      </c>
      <c r="N21" s="1" t="str">
        <f aca="false">IF(L21="Força",COUNTIF(L$6:L21,"Força"),"")</f>
        <v/>
      </c>
      <c r="O21" s="1" t="n">
        <f aca="false">IF(L21="Fraqueza",COUNTIF(L$6:L21,"Fraqueza"),"")</f>
        <v>6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2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339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107.6</v>
      </c>
      <c r="F9" s="19" t="n">
        <f aca="false">IF(G9="","",2)</f>
        <v>2</v>
      </c>
      <c r="G9" s="20" t="str">
        <f aca="false">IFERROR(INDEX($K$6:$K$21,MATCH(2,$O$6:$O$21,0)),"")</f>
        <v>[Comércio e Serviços] CS-03 – Empresas e outras organizações ativas por mil habitantes (un./mil hab.)</v>
      </c>
      <c r="H9" s="21" t="n">
        <f aca="false">IFERROR(INDEX($M$6:$M$21,MATCH(2,$O$6:$O$21,0)),"")</f>
        <v>17.26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41.4</v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48349.24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16.77</v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7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EST-03 – Vínculos formais por 100 habitantes (vínculos/100 hab.)</v>
      </c>
      <c r="H12" s="21" t="n">
        <f aca="false">IFERROR(INDEX($M$6:$M$21,MATCH(5,$O$6:$O$21,0)),"")</f>
        <v>17.31</v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>Força</v>
      </c>
      <c r="M12" s="88" t="n">
        <f aca="false">IF('Indicadores (F-W)'!X12="","",'Indicadores (F-W)'!X12)</f>
        <v>107.6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EST-04 – Concentração setorial do emprego formal (HHI por seção CNAE) (índice 0–1)</v>
      </c>
      <c r="H13" s="21" t="n">
        <f aca="false">IFERROR(INDEX($M$6:$M$21,MATCH(6,$O$6:$O$21,0)),"")</f>
        <v>0.2275</v>
      </c>
      <c r="K13" s="1" t="str">
        <f aca="false">Aux!B13</f>
        <v>[Indústria] IND-03 – Remuneração média do emprego formal industrial (R$)</v>
      </c>
      <c r="L13" s="1" t="str">
        <f aca="false">'Indicadores (F-W)'!Y13</f>
        <v>Neutro</v>
      </c>
      <c r="M13" s="88" t="n">
        <f aca="false">IF('Indicadores (F-W)'!X13="","",'Indicadores (F-W)'!X13)</f>
        <v>3141.45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EST-05 – Receitas próprias / receita corrente (%)</v>
      </c>
      <c r="H14" s="21" t="n">
        <f aca="false">IFERROR(INDEX($M$6:$M$21,MATCH(7,$O$6:$O$21,0)),"")</f>
        <v>11.71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7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>Força</v>
      </c>
      <c r="M15" s="88" t="n">
        <f aca="false">IF('Indicadores (F-W)'!X15="","",'Indicadores (F-W)'!X15)</f>
        <v>41.4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>Fraqueza</v>
      </c>
      <c r="M16" s="88" t="n">
        <f aca="false">IF('Indicadores (F-W)'!X16="","",'Indicadores (F-W)'!X16)</f>
        <v>17.26</v>
      </c>
      <c r="N16" s="1" t="str">
        <f aca="false">IF(L16="Força",COUNTIF(L$6:L16,"Força"),"")</f>
        <v/>
      </c>
      <c r="O16" s="1" t="n">
        <f aca="false">IF(L16="Fraqueza",COUNTIF(L$6:L16,"Fraqueza"),"")</f>
        <v>2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9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90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>Fraqueza</v>
      </c>
      <c r="M19" s="88" t="n">
        <f aca="false">IF('Indicadores (F-W)'!X19="","",'Indicadores (F-W)'!X19)</f>
        <v>17.31</v>
      </c>
      <c r="N19" s="1" t="str">
        <f aca="false">IF(L19="Força",COUNTIF(L$6:L19,"Força"),"")</f>
        <v/>
      </c>
      <c r="O19" s="1" t="n">
        <f aca="false">IF(L19="Fraqueza",COUNTIF(L$6:L19,"Fraqueza"),"")</f>
        <v>5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>Fraqueza</v>
      </c>
      <c r="M20" s="93" t="n">
        <f aca="false">IF('Indicadores (F-W)'!X20="","",'Indicadores (F-W)'!X20)</f>
        <v>0.2275</v>
      </c>
      <c r="N20" s="1" t="str">
        <f aca="false">IF(L20="Força",COUNTIF(L$6:L20,"Força"),"")</f>
        <v/>
      </c>
      <c r="O20" s="1" t="n">
        <f aca="false">IF(L20="Fraqueza",COUNTIF(L$6:L20,"Fraqueza"),"")</f>
        <v>6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>Fraqueza</v>
      </c>
      <c r="M21" s="88" t="n">
        <f aca="false">IF('Indicadores (F-W)'!X21="","",'Indicadores (F-W)'!X21)</f>
        <v>11.71</v>
      </c>
      <c r="N21" s="1" t="str">
        <f aca="false">IF(L21="Força",COUNTIF(L$6:L21,"Força"),"")</f>
        <v/>
      </c>
      <c r="O21" s="1" t="n">
        <f aca="false">IF(L21="Fraqueza",COUNTIF(L$6:L21,"Fraqueza"),"")</f>
        <v>7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340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[Agropecuária] AGR-03 – Variação do efetivo bovino em 5 anos (%)</v>
      </c>
      <c r="H8" s="21" t="n">
        <f aca="false">IFERROR(INDEX($M$6:$M$21,MATCH(1,$O$6:$O$21,0)),"")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9903.13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17.39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0.3227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13.39</v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7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14.41</v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>Fraqueza</v>
      </c>
      <c r="M12" s="88" t="n">
        <f aca="false">IF('Indicadores (F-W)'!Z12="","",'Indicadores (F-W)'!Z12)</f>
        <v>17.39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59335.82</v>
      </c>
      <c r="K13" s="1" t="str">
        <f aca="false">Aux!B13</f>
        <v>[Indústria] IND-03 – Remuneração média do emprego formal industrial (R$)</v>
      </c>
      <c r="L13" s="1" t="str">
        <f aca="false">'Indicadores (F-W)'!AA13</f>
        <v>Neutro</v>
      </c>
      <c r="M13" s="88" t="n">
        <f aca="false">IF('Indicadores (F-W)'!Z13="","",'Indicadores (F-W)'!Z13)</f>
        <v>3096.65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18.67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7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0.3954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>Fraqueza</v>
      </c>
      <c r="M15" s="88" t="n">
        <f aca="false">IF('Indicadores (F-W)'!Z15="","",'Indicadores (F-W)'!Z15)</f>
        <v>13.39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7.14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>Fraqueza</v>
      </c>
      <c r="M16" s="88" t="n">
        <f aca="false">IF('Indicadores (F-W)'!Z16="","",'Indicadores (F-W)'!Z16)</f>
        <v>14.41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9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90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>Neutro</v>
      </c>
      <c r="M19" s="88" t="n">
        <f aca="false">IF('Indicadores (F-W)'!Z19="","",'Indicadores (F-W)'!Z19)</f>
        <v>30.4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>Fraqueza</v>
      </c>
      <c r="M20" s="93" t="n">
        <f aca="false">IF('Indicadores (F-W)'!Z20="","",'Indicadores (F-W)'!Z20)</f>
        <v>0.3954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>Fraqueza</v>
      </c>
      <c r="M21" s="88" t="n">
        <f aca="false">IF('Indicadores (F-W)'!Z21="","",'Indicadores (F-W)'!Z21)</f>
        <v>7.14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341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10166.09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1.2112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-2.58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1.57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14.99</v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7" t="n">
        <f aca="false">IF('Indicadores (F-W)'!AB11="","",'Indicadores (F-W)'!AB11)</f>
        <v>1.2112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43433.97</v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>Fraqueza</v>
      </c>
      <c r="M12" s="88" t="n">
        <f aca="false">IF('Indicadores (F-W)'!AB12="","",'Indicadores (F-W)'!AB12)</f>
        <v>1.57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25.62</v>
      </c>
      <c r="K13" s="1" t="str">
        <f aca="false">Aux!B13</f>
        <v>[Indústria] IND-03 – Remuneração média do emprego formal industrial (R$)</v>
      </c>
      <c r="L13" s="1" t="str">
        <f aca="false">'Indicadores (F-W)'!AC13</f>
        <v>Neutro</v>
      </c>
      <c r="M13" s="88" t="n">
        <f aca="false">IF('Indicadores (F-W)'!AB13="","",'Indicadores (F-W)'!AB13)</f>
        <v>2809.72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22.66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7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14.35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>Fraqueza</v>
      </c>
      <c r="M15" s="88" t="n">
        <f aca="false">IF('Indicadores (F-W)'!AB15="","",'Indicadores (F-W)'!AB15)</f>
        <v>14.99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>Neutro</v>
      </c>
      <c r="M16" s="88" t="n">
        <f aca="false">IF('Indicadores (F-W)'!AB16="","",'Indicadores (F-W)'!AB16)</f>
        <v>32.17</v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9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90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>Fraqueza</v>
      </c>
      <c r="M19" s="88" t="n">
        <f aca="false">IF('Indicadores (F-W)'!AB19="","",'Indicadores (F-W)'!AB19)</f>
        <v>22.66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>Neutro</v>
      </c>
      <c r="M20" s="93" t="n">
        <f aca="false">IF('Indicadores (F-W)'!AB20="","",'Indicadores (F-W)'!AB20)</f>
        <v>0.1288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>Fraqueza</v>
      </c>
      <c r="M21" s="88" t="n">
        <f aca="false">IF('Indicadores (F-W)'!AB21="","",'Indicadores (F-W)'!AB21)</f>
        <v>14.35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342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23.81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2.0033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64.63</v>
      </c>
      <c r="F10" s="19" t="n">
        <f aca="false">IF(G10="","",3)</f>
        <v>3</v>
      </c>
      <c r="G10" s="20" t="str">
        <f aca="false">IFERROR(INDEX($K$6:$K$21,MATCH(3,$O$6:$O$21,0)),"")</f>
        <v>[Comércio e Serviços] CS-03 – Empresas e outras organizações ativas por mil habitantes (un./mil hab.)</v>
      </c>
      <c r="H10" s="21" t="n">
        <f aca="false">IFERROR(INDEX($M$6:$M$21,MATCH(3,$O$6:$O$21,0)),"")</f>
        <v>14.51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[Comércio e Serviços] CS-02 – Variação do emprego formal em comércio e serviços em 5 anos (%)</v>
      </c>
      <c r="D11" s="18" t="n">
        <f aca="false">IFERROR(INDEX($M$6:$M$21,MATCH(4,$N$6:$N$21,0)),"")</f>
        <v>158.22</v>
      </c>
      <c r="F11" s="19" t="n">
        <f aca="false">IF(G11="","",4)</f>
        <v>4</v>
      </c>
      <c r="G11" s="20" t="str">
        <f aca="false">IFERROR(INDEX($K$6:$K$21,MATCH(4,$O$6:$O$21,0)),"")</f>
        <v>[Estrutura Econômica e Fiscal] EST-01 – PIB per capita (R$)</v>
      </c>
      <c r="H11" s="21" t="n">
        <f aca="false">IFERROR(INDEX($M$6:$M$21,MATCH(4,$O$6:$O$21,0)),"")</f>
        <v>33510.51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7" t="n">
        <f aca="false">IF('Indicadores (F-W)'!AD11="","",'Indicadores (F-W)'!AD11)</f>
        <v>2.0033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EST-02 – Participação da administração pública no VAB total (%)</v>
      </c>
      <c r="H12" s="21" t="n">
        <f aca="false">IFERROR(INDEX($M$6:$M$21,MATCH(5,$O$6:$O$21,0)),"")</f>
        <v>24.97</v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>Força</v>
      </c>
      <c r="M12" s="88" t="n">
        <f aca="false">IF('Indicadores (F-W)'!AD12="","",'Indicadores (F-W)'!AD12)</f>
        <v>64.63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EST-03 – Vínculos formais por 100 habitantes (vínculos/100 hab.)</v>
      </c>
      <c r="H13" s="21" t="n">
        <f aca="false">IFERROR(INDEX($M$6:$M$21,MATCH(6,$O$6:$O$21,0)),"")</f>
        <v>24.35</v>
      </c>
      <c r="K13" s="1" t="str">
        <f aca="false">Aux!B13</f>
        <v>[Indústria] IND-03 – Remuneração média do emprego formal industrial (R$)</v>
      </c>
      <c r="L13" s="1" t="str">
        <f aca="false">'Indicadores (F-W)'!AE13</f>
        <v>Neutro</v>
      </c>
      <c r="M13" s="88" t="n">
        <f aca="false">IF('Indicadores (F-W)'!AD13="","",'Indicadores (F-W)'!AD13)</f>
        <v>2895.19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EST-04 – Concentração setorial do emprego formal (HHI por seção CNAE) (índice 0–1)</v>
      </c>
      <c r="H14" s="21" t="n">
        <f aca="false">IFERROR(INDEX($M$6:$M$21,MATCH(7,$O$6:$O$21,0)),"")</f>
        <v>0.2738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7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5.15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>Força</v>
      </c>
      <c r="M15" s="88" t="n">
        <f aca="false">IF('Indicadores (F-W)'!AD15="","",'Indicadores (F-W)'!AD15)</f>
        <v>158.22</v>
      </c>
      <c r="N15" s="1" t="n">
        <f aca="false">IF(L15="Força",COUNTIF(L$6:L15,"Força"),"")</f>
        <v>4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>Fraqueza</v>
      </c>
      <c r="M16" s="88" t="n">
        <f aca="false">IF('Indicadores (F-W)'!AD16="","",'Indicadores (F-W)'!AD16)</f>
        <v>14.51</v>
      </c>
      <c r="N16" s="1" t="str">
        <f aca="false">IF(L16="Força",COUNTIF(L$6:L16,"Força"),"")</f>
        <v/>
      </c>
      <c r="O16" s="1" t="n">
        <f aca="false">IF(L16="Fraqueza",COUNTIF(L$6:L16,"Fraqueza"),"")</f>
        <v>3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9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4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90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>Fraqueza</v>
      </c>
      <c r="M19" s="88" t="n">
        <f aca="false">IF('Indicadores (F-W)'!AD19="","",'Indicadores (F-W)'!AD19)</f>
        <v>24.35</v>
      </c>
      <c r="N19" s="1" t="str">
        <f aca="false">IF(L19="Força",COUNTIF(L$6:L19,"Força"),"")</f>
        <v/>
      </c>
      <c r="O19" s="1" t="n">
        <f aca="false">IF(L19="Fraqueza",COUNTIF(L$6:L19,"Fraqueza"),"")</f>
        <v>6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>Fraqueza</v>
      </c>
      <c r="M20" s="93" t="n">
        <f aca="false">IF('Indicadores (F-W)'!AD20="","",'Indicadores (F-W)'!AD20)</f>
        <v>0.2738</v>
      </c>
      <c r="N20" s="1" t="str">
        <f aca="false">IF(L20="Força",COUNTIF(L$6:L20,"Força"),"")</f>
        <v/>
      </c>
      <c r="O20" s="1" t="n">
        <f aca="false">IF(L20="Fraqueza",COUNTIF(L$6:L20,"Fraqueza"),"")</f>
        <v>7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>Fraqueza</v>
      </c>
      <c r="M21" s="88" t="n">
        <f aca="false">IF('Indicadores (F-W)'!AD21="","",'Indicadores (F-W)'!AD21)</f>
        <v>5.15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343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16.79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31.45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[Indústria] IND-03 – Remuneração média do emprego formal industrial (R$)</v>
      </c>
      <c r="H11" s="21" t="n">
        <f aca="false">IFERROR(INDEX($M$6:$M$21,MATCH(4,$O$6:$O$21,0)),"")</f>
        <v>2150.35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7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30.43</v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>Fraqueza</v>
      </c>
      <c r="M12" s="88" t="n">
        <f aca="false">IF('Indicadores (F-W)'!AF12="","",'Indicadores (F-W)'!AF12)</f>
        <v>31.45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16.35</v>
      </c>
      <c r="K13" s="1" t="str">
        <f aca="false">Aux!B13</f>
        <v>[Indústria] IND-03 – Remuneração média do emprego formal industrial (R$)</v>
      </c>
      <c r="L13" s="1" t="str">
        <f aca="false">'Indicadores (F-W)'!AG13</f>
        <v>Fraqueza</v>
      </c>
      <c r="M13" s="88" t="n">
        <f aca="false">IF('Indicadores (F-W)'!AF13="","",'Indicadores (F-W)'!AF13)</f>
        <v>2150.35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27609.14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7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33.23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>Fraqueza</v>
      </c>
      <c r="M15" s="88" t="n">
        <f aca="false">IF('Indicadores (F-W)'!AF15="","",'Indicadores (F-W)'!AF15)</f>
        <v>30.43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15.75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>Fraqueza</v>
      </c>
      <c r="M16" s="88" t="n">
        <f aca="false">IF('Indicadores (F-W)'!AF16="","",'Indicadores (F-W)'!AF16)</f>
        <v>16.35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0.1845</v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9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9.51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90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>Fraqueza</v>
      </c>
      <c r="M19" s="88" t="n">
        <f aca="false">IF('Indicadores (F-W)'!AF19="","",'Indicadores (F-W)'!AF19)</f>
        <v>15.75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>Fraqueza</v>
      </c>
      <c r="M20" s="93" t="n">
        <f aca="false">IF('Indicadores (F-W)'!AF20="","",'Indicadores (F-W)'!AF20)</f>
        <v>0.1845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>Fraqueza</v>
      </c>
      <c r="M21" s="88" t="n">
        <f aca="false">IF('Indicadores (F-W)'!AF21="","",'Indicadores (F-W)'!AF21)</f>
        <v>9.51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344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6552.04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1432.11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8.4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0.505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633.3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-12.56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13.06</v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7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31726.19</v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>Força</v>
      </c>
      <c r="M12" s="88" t="n">
        <f aca="false">IF('Indicadores (F-W)'!AH12="","",'Indicadores (F-W)'!AH12)</f>
        <v>633.3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28.79</v>
      </c>
      <c r="K13" s="1" t="str">
        <f aca="false">Aux!B13</f>
        <v>[Indústria] IND-03 – Remuneração média do emprego formal industrial (R$)</v>
      </c>
      <c r="L13" s="1" t="str">
        <f aca="false">'Indicadores (F-W)'!AI13</f>
        <v>Fraqueza</v>
      </c>
      <c r="M13" s="88" t="n">
        <f aca="false">IF('Indicadores (F-W)'!AH13="","",'Indicadores (F-W)'!AH13)</f>
        <v>1432.11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16.43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7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0.3713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>Fraqueza</v>
      </c>
      <c r="M15" s="88" t="n">
        <f aca="false">IF('Indicadores (F-W)'!AH15="","",'Indicadores (F-W)'!AH15)</f>
        <v>-12.56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6.54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>Fraqueza</v>
      </c>
      <c r="M16" s="88" t="n">
        <f aca="false">IF('Indicadores (F-W)'!AH16="","",'Indicadores (F-W)'!AH16)</f>
        <v>13.06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9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90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>Fraqueza</v>
      </c>
      <c r="M19" s="88" t="n">
        <f aca="false">IF('Indicadores (F-W)'!AH19="","",'Indicadores (F-W)'!AH19)</f>
        <v>16.43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>Fraqueza</v>
      </c>
      <c r="M20" s="93" t="n">
        <f aca="false">IF('Indicadores (F-W)'!AH20="","",'Indicadores (F-W)'!AH20)</f>
        <v>0.3713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>Fraqueza</v>
      </c>
      <c r="M21" s="88" t="n">
        <f aca="false">IF('Indicadores (F-W)'!AH21="","",'Indicadores (F-W)'!AH21)</f>
        <v>6.54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345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7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0.39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CS-03 – Empresas e outras organizações ativas por mil habitantes (un./mil hab.)</v>
      </c>
      <c r="D10" s="18" t="n">
        <f aca="false">IFERROR(INDEX($M$6:$M$21,MATCH(3,$N$6:$N$21,0)),"")</f>
        <v>36.86</v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30.12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[Estrutura Econômica e Fiscal] EST-05 – Receitas próprias / receita corrente (%)</v>
      </c>
      <c r="D11" s="18" t="n">
        <f aca="false">IFERROR(INDEX($M$6:$M$21,MATCH(4,$N$6:$N$21,0)),"")</f>
        <v>21.61</v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7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>Fraqueza</v>
      </c>
      <c r="M12" s="88" t="n">
        <f aca="false">IF('Indicadores (F-W)'!AJ12="","",'Indicadores (F-W)'!AJ12)</f>
        <v>30.12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>Neutro</v>
      </c>
      <c r="M13" s="88" t="n">
        <f aca="false">IF('Indicadores (F-W)'!AJ13="","",'Indicadores (F-W)'!AJ13)</f>
        <v>2903.68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7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>Neutro</v>
      </c>
      <c r="M15" s="88" t="n">
        <f aca="false">IF('Indicadores (F-W)'!AJ15="","",'Indicadores (F-W)'!AJ15)</f>
        <v>40.03</v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>Força</v>
      </c>
      <c r="M16" s="88" t="n">
        <f aca="false">IF('Indicadores (F-W)'!AJ16="","",'Indicadores (F-W)'!AJ16)</f>
        <v>36.86</v>
      </c>
      <c r="N16" s="1" t="n">
        <f aca="false">IF(L16="Força",COUNTIF(L$6:L16,"Força"),"")</f>
        <v>3</v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9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90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>Neutro</v>
      </c>
      <c r="M19" s="88" t="n">
        <f aca="false">IF('Indicadores (F-W)'!AJ19="","",'Indicadores (F-W)'!AJ19)</f>
        <v>32.01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>Neutro</v>
      </c>
      <c r="M20" s="93" t="n">
        <f aca="false">IF('Indicadores (F-W)'!AJ20="","",'Indicadores (F-W)'!AJ20)</f>
        <v>0.1166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>Força</v>
      </c>
      <c r="M21" s="88" t="n">
        <f aca="false">IF('Indicadores (F-W)'!AJ21="","",'Indicadores (F-W)'!AJ21)</f>
        <v>21.61</v>
      </c>
      <c r="N21" s="1" t="n">
        <f aca="false">IF(L21="Força",COUNTIF(L$6:L21,"Força"),"")</f>
        <v>4</v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346</v>
      </c>
    </row>
    <row r="2" customFormat="false" ht="15" hidden="false" customHeight="true" outlineLevel="0" collapsed="false">
      <c r="B2" s="9" t="s">
        <v>333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[Agropecuária] AGR-02 – Valor da produção das lavouras por área colhida (R$/ha)</v>
      </c>
      <c r="H8" s="21" t="n">
        <f aca="false">IFERROR(INDEX($M$6:$M$21,MATCH(1,$O$6:$O$21,0)),"")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100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0.4719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2394.42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0.3417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7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31.02</v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>Força</v>
      </c>
      <c r="M12" s="88" t="n">
        <f aca="false">IF('Indicadores (F-W)'!AL12="","",'Indicadores (F-W)'!AL12)</f>
        <v>100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16.12</v>
      </c>
      <c r="K13" s="1" t="str">
        <f aca="false">Aux!B13</f>
        <v>[Indústria] IND-03 – Remuneração média do emprego formal industrial (R$)</v>
      </c>
      <c r="L13" s="1" t="str">
        <f aca="false">'Indicadores (F-W)'!AM13</f>
        <v>Fraqueza</v>
      </c>
      <c r="M13" s="88" t="n">
        <f aca="false">IF('Indicadores (F-W)'!AL13="","",'Indicadores (F-W)'!AL13)</f>
        <v>2394.42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48781.11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7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15.78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>Fraqueza</v>
      </c>
      <c r="M15" s="88" t="n">
        <f aca="false">IF('Indicadores (F-W)'!AL15="","",'Indicadores (F-W)'!AL15)</f>
        <v>31.02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19.67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>Fraqueza</v>
      </c>
      <c r="M16" s="88" t="n">
        <f aca="false">IF('Indicadores (F-W)'!AL16="","",'Indicadores (F-W)'!AL16)</f>
        <v>16.12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0.2362</v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9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9.96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90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>Fraqueza</v>
      </c>
      <c r="M19" s="88" t="n">
        <f aca="false">IF('Indicadores (F-W)'!AL19="","",'Indicadores (F-W)'!AL19)</f>
        <v>19.67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>Fraqueza</v>
      </c>
      <c r="M20" s="93" t="n">
        <f aca="false">IF('Indicadores (F-W)'!AL20="","",'Indicadores (F-W)'!AL20)</f>
        <v>0.2362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>Fraqueza</v>
      </c>
      <c r="M21" s="88" t="n">
        <f aca="false">IF('Indicadores (F-W)'!AL21="","",'Indicadores (F-W)'!AL21)</f>
        <v>9.96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334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2026-09-25T19:20:01Z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