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8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Matriz SWOT (seletor)" sheetId="2" state="visible" r:id="rId4"/>
    <sheet name="Painel" sheetId="3" state="visible" r:id="rId5"/>
    <sheet name="Ranking Locacional" sheetId="4" state="visible" r:id="rId6"/>
    <sheet name="Ranking SWOT (provisório)" sheetId="5" state="visible" r:id="rId7"/>
    <sheet name="Fontes e Notas" sheetId="6" state="visible" r:id="rId8"/>
    <sheet name="Parâmetros" sheetId="7" state="visible" r:id="rId9"/>
    <sheet name="Indicadores (F-W)" sheetId="8" state="visible" r:id="rId10"/>
    <sheet name="Fatores Externos (O-A)" sheetId="9" state="visible" r:id="rId11"/>
    <sheet name="Aux" sheetId="10" state="hidden" r:id="rId12"/>
    <sheet name="SWOT - Barão de Melgaço" sheetId="11" state="visible" r:id="rId13"/>
    <sheet name="SWOT - Cáceres" sheetId="12" state="visible" r:id="rId14"/>
    <sheet name="SWOT - Curvelândia" sheetId="13" state="visible" r:id="rId15"/>
    <sheet name="SWOT - Glória D'Oeste" sheetId="14" state="visible" r:id="rId16"/>
    <sheet name="SWOT - Itiquira" sheetId="15" state="visible" r:id="rId17"/>
    <sheet name="SWOT - Juscimeira" sheetId="16" state="visible" r:id="rId18"/>
    <sheet name="SWOT - Lambari D'Oeste" sheetId="17" state="visible" r:id="rId19"/>
    <sheet name="SWOT - Mirassol D'Oeste" sheetId="18" state="visible" r:id="rId20"/>
    <sheet name="SWOT - N. Sra. do Livramento" sheetId="19" state="visible" r:id="rId21"/>
    <sheet name="SWOT - Poconé" sheetId="20" state="visible" r:id="rId22"/>
    <sheet name="SWOT - Porto Esperidião" sheetId="21" state="visible" r:id="rId23"/>
    <sheet name="SWOT - Rondonópolis" sheetId="22" state="visible" r:id="rId24"/>
    <sheet name="SWOT - Sto. Antônio do Leverger" sheetId="23" state="visible" r:id="rId25"/>
  </sheets>
  <definedNames>
    <definedName function="false" hidden="false" localSheetId="10" name="_xlnm.Print_Area" vbProcedure="false">'SWOT - Barão de Melgaço'!$A$1:$H$38</definedName>
    <definedName function="false" hidden="false" localSheetId="11" name="_xlnm.Print_Area" vbProcedure="false">'SWOT - Cáceres'!$A$1:$H$38</definedName>
    <definedName function="false" hidden="false" localSheetId="12" name="_xlnm.Print_Area" vbProcedure="false">'SWOT - Curvelândia'!$A$1:$H$38</definedName>
    <definedName function="false" hidden="false" localSheetId="13" name="_xlnm.Print_Area" vbProcedure="false">'SWOT - Glória D''Oeste'!$A$1:$H$38</definedName>
    <definedName function="false" hidden="false" localSheetId="14" name="_xlnm.Print_Area" vbProcedure="false">'SWOT - Itiquira'!$A$1:$H$38</definedName>
    <definedName function="false" hidden="false" localSheetId="15" name="_xlnm.Print_Area" vbProcedure="false">'SWOT - Juscimeira'!$A$1:$H$38</definedName>
    <definedName function="false" hidden="false" localSheetId="16" name="_xlnm.Print_Area" vbProcedure="false">'SWOT - Lambari D''Oeste'!$A$1:$H$38</definedName>
    <definedName function="false" hidden="false" localSheetId="17" name="_xlnm.Print_Area" vbProcedure="false">'SWOT - Mirassol D''Oeste'!$A$1:$H$38</definedName>
    <definedName function="false" hidden="false" localSheetId="18" name="_xlnm.Print_Area" vbProcedure="false">'SWOT - N. Sra. do Livramento'!$A$1:$H$38</definedName>
    <definedName function="false" hidden="false" localSheetId="19" name="_xlnm.Print_Area" vbProcedure="false">'SWOT - Poconé'!$A$1:$H$38</definedName>
    <definedName function="false" hidden="false" localSheetId="20" name="_xlnm.Print_Area" vbProcedure="false">'SWOT - Porto Esperidião'!$A$1:$H$38</definedName>
    <definedName function="false" hidden="false" localSheetId="21" name="_xlnm.Print_Area" vbProcedure="false">'SWOT - Rondonópolis'!$A$1:$H$38</definedName>
    <definedName function="false" hidden="false" localSheetId="22" name="_xlnm.Print_Area" vbProcedure="false">'SWOT - Sto. Antônio do Leverger'!$A$1:$H$38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6" authorId="0">
      <text>
        <r>
          <rPr>
            <sz val="10"/>
            <rFont val="Arial"/>
            <family val="2"/>
          </rPr>
          <t xml:space="preserve">Preenchido a partir do IBGE (ver aba 'Fontes e Notas').</t>
        </r>
      </text>
    </comment>
    <comment ref="G8" authorId="0">
      <text>
        <r>
          <rPr>
            <sz val="10"/>
            <rFont val="Arial"/>
            <family val="2"/>
          </rPr>
          <t xml:space="preserve">Variação 2019–2024 (efetivo em 31/12). Fonte: d1_agropecuaria.csv (IBGE/PPM).</t>
        </r>
      </text>
    </comment>
    <comment ref="G11" authorId="0">
      <text>
        <r>
          <rPr>
            <sz val="10"/>
            <rFont val="Arial"/>
            <family val="2"/>
          </rPr>
          <t xml:space="preserve">Preenchido a partir do IBGE (ver aba 'Fontes e Notas').</t>
        </r>
      </text>
    </comment>
    <comment ref="G12" authorId="0">
      <text>
        <r>
          <rPr>
            <sz val="10"/>
            <rFont val="Arial"/>
            <family val="2"/>
          </rPr>
          <t xml:space="preserve">Variação 2019–2024 dos vínculos em 31/12. Indústria = alimentos + madeira/papel + outras indústrias + construção (mesmo recorte do VAB industrial do IBGE). Fonte: d1_emprego_rais.csv.</t>
        </r>
      </text>
    </comment>
    <comment ref="G13" authorId="0">
      <text>
        <r>
          <rPr>
            <sz val="10"/>
            <rFont val="Arial"/>
            <family val="2"/>
          </rPr>
          <t xml:space="preserve">Remuneração média nominal de 2024, ponderada pelos vínculos dos grupos industriais. Fonte: d1_emprego_rais.csv.</t>
        </r>
      </text>
    </comment>
    <comment ref="G14" authorId="0">
      <text>
        <r>
          <rPr>
            <sz val="10"/>
            <rFont val="Arial"/>
            <family val="2"/>
          </rPr>
          <t xml:space="preserve">Preenchido a partir do IBGE (ver aba 'Fontes e Notas').</t>
        </r>
      </text>
    </comment>
    <comment ref="G15" authorId="0">
      <text>
        <r>
          <rPr>
            <sz val="10"/>
            <rFont val="Arial"/>
            <family val="2"/>
          </rPr>
          <t xml:space="preserve">Variação 2019–2024. Comércio e serviços = varejo, atacado, alojamento/alimentação, transporte/logística, financeiro, saúde, educação e outros serviços (exclui adm. pública). Fonte: d1_emprego_rais.csv.</t>
        </r>
      </text>
    </comment>
    <comment ref="G16" authorId="0">
      <text>
        <r>
          <rPr>
            <sz val="10"/>
            <rFont val="Arial"/>
            <family val="2"/>
          </rPr>
          <t xml:space="preserve">CEMPRE 2021 (último ano da base d1_empresas.csv): número de empresas ÷ população 2021 × 1.000.</t>
        </r>
      </text>
    </comment>
    <comment ref="G17" authorId="0">
      <text>
        <r>
          <rPr>
            <sz val="10"/>
            <rFont val="Arial"/>
            <family val="2"/>
          </rPr>
          <t xml:space="preserve">Preenchido a partir do IBGE (ver aba 'Fontes e Notas').</t>
        </r>
      </text>
    </comment>
    <comment ref="G18" authorId="0">
      <text>
        <r>
          <rPr>
            <sz val="10"/>
            <rFont val="Arial"/>
            <family val="2"/>
          </rPr>
          <t xml:space="preserve">Preenchido a partir do IBGE (ver aba 'Fontes e Notas').</t>
        </r>
      </text>
    </comment>
    <comment ref="G19" authorId="0">
      <text>
        <r>
          <rPr>
            <sz val="10"/>
            <rFont val="Arial"/>
            <family val="2"/>
          </rPr>
          <t xml:space="preserve">RAIS 2024: empregos formais ÷ população 2024 × 100.</t>
        </r>
      </text>
    </comment>
    <comment ref="G20" authorId="0">
      <text>
        <r>
          <rPr>
            <sz val="10"/>
            <rFont val="Arial"/>
            <family val="2"/>
          </rPr>
          <t xml:space="preserve">HHI sobre os 16 grupos setoriais da base tratada (agregação próxima às seções CNAE), RAIS 2024. MT calculado com o emprego somado dos 141 municípios.</t>
        </r>
      </text>
    </comment>
    <comment ref="G21" authorId="0">
      <text>
        <r>
          <rPr>
            <sz val="10"/>
            <rFont val="Arial"/>
            <family val="2"/>
          </rPr>
          <t xml:space="preserve">2022: último ano com os 13 municípios (2023 não tem Santo Antônio do Leverger). Fonte: d6_financas.csv (Siconfi/FINBRA), coluna autonomia_fiscal_pct = receita própria ÷ receita TOTAL. Aproxima receita própria ÷ receita corrente; como as receitas de capital são pequenas, a diferença tende a ser pequena, mas o denominador não é o mesmo.</t>
        </r>
      </text>
    </comment>
    <comment ref="I7" authorId="0">
      <text>
        <r>
          <rPr>
            <sz val="10"/>
            <rFont val="Arial"/>
            <family val="2"/>
          </rPr>
          <t xml:space="preserve">MT = Σ valor da produção das lavouras ÷ Σ área colhida dos 141 municípios, 2024 (IBGE/PAM via d1_agropecuaria.csv).</t>
        </r>
      </text>
    </comment>
    <comment ref="I8" authorId="0">
      <text>
        <r>
          <rPr>
            <sz val="10"/>
            <rFont val="Arial"/>
            <family val="2"/>
          </rPr>
          <t xml:space="preserve">MT: 31.654.882 cab. (2019) → 32.853.368 cab. (2024) = +3,79%.</t>
        </r>
      </text>
    </comment>
    <comment ref="I21" authorId="0">
      <text>
        <r>
          <rPr>
            <sz val="10"/>
            <rFont val="Arial"/>
            <family val="2"/>
          </rPr>
          <t xml:space="preserve">MT = Σ receita própria ÷ Σ receita total dos 141 municípios em 2022 (não é o governo estadual).</t>
        </r>
      </text>
    </comment>
    <comment ref="N12" authorId="0">
      <text>
        <r>
          <rPr>
            <sz val="10"/>
            <rFont val="Arial"/>
            <family val="2"/>
          </rPr>
          <t xml:space="preserve">Base pequena: 1 vínculos industriais em 2019 e 24 em 2024. Variação instável; conferir o valor absoluto.</t>
        </r>
      </text>
    </comment>
    <comment ref="T12" authorId="0">
      <text>
        <r>
          <rPr>
            <sz val="10"/>
            <rFont val="Arial"/>
            <family val="2"/>
          </rPr>
          <t xml:space="preserve">Base pequena: 6 vínculos industriais em 2019 e 15 em 2024. Variação instável; conferir o valor absoluto.</t>
        </r>
      </text>
    </comment>
    <comment ref="V12" authorId="0">
      <text>
        <r>
          <rPr>
            <sz val="10"/>
            <rFont val="Arial"/>
            <family val="2"/>
          </rPr>
          <t xml:space="preserve">Base pequena: 34 vínculos industriais em 2019 e 76 em 2024. Variação instável; conferir o valor absoluto.</t>
        </r>
      </text>
    </comment>
    <comment ref="X12" authorId="0">
      <text>
        <r>
          <rPr>
            <sz val="10"/>
            <rFont val="Arial"/>
            <family val="2"/>
          </rPr>
          <t xml:space="preserve">Base pequena: 79 vínculos industriais em 2019 e 164 em 2024. Variação instável; conferir o valor absoluto.</t>
        </r>
      </text>
    </comment>
    <comment ref="AH12" authorId="0">
      <text>
        <r>
          <rPr>
            <sz val="10"/>
            <rFont val="Arial"/>
            <family val="2"/>
          </rPr>
          <t xml:space="preserve">Base pequena: 6 vínculos industriais em 2019 e 44 em 2024. Variação instável; conferir o valor absoluto.</t>
        </r>
      </text>
    </comment>
  </commentList>
</comments>
</file>

<file path=xl/sharedStrings.xml><?xml version="1.0" encoding="utf-8"?>
<sst xmlns="http://schemas.openxmlformats.org/spreadsheetml/2006/main" count="829" uniqueCount="342">
  <si>
    <t xml:space="preserve">MATRIZ SWOT DO PERFIL ECONÔMICO-PRODUTIVO SETORIAL MUNICIPAL (PESM) — PANTANAL NORTE</t>
  </si>
  <si>
    <t xml:space="preserve">Projeto DSIP-MT | Convênio 984799/2025-SUDECO-UNEMAT | Meta 1 — Análise Diagnóstica Estratégica do PESM</t>
  </si>
  <si>
    <t xml:space="preserve">LÓGICA</t>
  </si>
  <si>
    <t xml:space="preserve">Estrutura adaptada da Matriz ICS-MP: indicador → limiares → classificação automática → síntese. Forças e Fraquezas vêm de indicadores INTERNOS (aba 'Indicadores (F-W)'), classificados automaticamente. Oportunidades e Ameaças vêm de fatores EXTERNOS (aba 'Fatores Externos (O-A)'), pontuados pela equipe com base nas pesquisas secundária, web-based e de campo.</t>
  </si>
  <si>
    <t xml:space="preserve">PASSO 1</t>
  </si>
  <si>
    <t xml:space="preserve">Na aba 'Parâmetros', revise as bandas de tolerância e o corte de relevância dos fatores externos.</t>
  </si>
  <si>
    <t xml:space="preserve">PASSO 2</t>
  </si>
  <si>
    <t xml:space="preserve">Na aba 'Indicadores (F-W)', preencha a coluna 'Valor ref. MT' (valor do estado no mesmo ano) e, para cada município, a coluna 'Dado bruto'. Células com fundo AMARELO e texto AZUL são de entrada manual. A coluna 'Classificação' é automática — não editar.</t>
  </si>
  <si>
    <t xml:space="preserve">CRITÉRIOS</t>
  </si>
  <si>
    <t xml:space="preserve">Absoluto: usa os limiares manuais (colunas J e K). Razão MT: limiares = ref. MT × (1 ± banda relativa). Dif. MT (p.p.): limiares = ref. MT ± banda em pontos percentuais (usar para taxas de variação e percentuais). Sentido '+': valor acima do limiar superior = Força; abaixo do inferior = Fraqueza. Sentido '-': o inverso. Entre os limiares = Neutro.</t>
  </si>
  <si>
    <t xml:space="preserve">PASSO 3</t>
  </si>
  <si>
    <t xml:space="preserve">Na aba 'Fatores Externos (O-A)', atribua a cada fator a intensidade para cada município: 0 = não se aplica, 1 = baixa, 2 = média, 3 = alta. Registre a evidência que sustenta a nota (notícia, dado, observação de campo). Recomenda-se nota por consenso de dois pesquisadores.</t>
  </si>
  <si>
    <t xml:space="preserve">PASSO 4</t>
  </si>
  <si>
    <t xml:space="preserve">Cada município tem sua própria aba 'SWOT - &lt;município&gt;', pronta para impressão em A4 paisagem e atualizada automaticamente. A aba 'Matriz SWOT (seletor)' permite alternar entre municípios na célula C3. A aba 'Painel' mostra a síntese dos 13 municípios e a frequência de cada item na região (base para a SWOT regional do Relatório Parcial).</t>
  </si>
  <si>
    <t xml:space="preserve">ÁREAS-CHAVE</t>
  </si>
  <si>
    <t xml:space="preserve">Quatro áreas-chave, dentro do intervalo de 3 a 6 previsto no Plano de Trabalho: Agropecuária; Indústria; Comércio e Serviços; Estrutura Econômica e Fiscal. Indicadores e fatores podem ser incluídos ao final das tabelas, desde que as fórmulas sejam estendidas.</t>
  </si>
  <si>
    <t xml:space="preserve">DADO AUSENTE</t>
  </si>
  <si>
    <t xml:space="preserve">Deixe a célula em branco. O indicador é contado como 'sem dado' e não entra em nenhum quadrante.</t>
  </si>
  <si>
    <t xml:space="preserve">CUIDADOS</t>
  </si>
  <si>
    <t xml:space="preserve">(1) Use o mesmo ano-base para todos os municípios em cada indicador. (2) RAIS capta apenas emprego formal e subestima a agropecuária; confrontar com VAB e Censo Agro. (3) Em municípios pequenos, QL e variações percentuais são instáveis; conferir valores absolutos. (4) Rondonópolis tem escala muito superior aos demais; em comparações regionais, apresentar resultados com e sem o município.</t>
  </si>
  <si>
    <t xml:space="preserve">LIMIARES</t>
  </si>
  <si>
    <t xml:space="preserve">Os limiares absolutos dos quocientes locacionais (0,8 e 1,2) e as bandas padrão (±10% e ±2 p.p.) são propostas iniciais, a validar com a coordenação e o orientador antes da análise final.</t>
  </si>
  <si>
    <t xml:space="preserve">RANKINGS</t>
  </si>
  <si>
    <t xml:space="preserve">'Ranking Locacional': QLs, coeficiente de especialização e diversificação, calculados e ordenados automaticamente. 'Ranking SWOT (provisório)': índice (F−W)/n combinado com (O−T)/n; marcado como provisório até 75% de cobertura interna e externa.</t>
  </si>
  <si>
    <t xml:space="preserve">MATRIZ SWOT — PERFIL ECONÔMICO-PRODUTIVO SETORIAL MUNICIPAL (PESM) | PANTANAL NORTE</t>
  </si>
  <si>
    <t xml:space="preserve">Município:</t>
  </si>
  <si>
    <t xml:space="preserve">Cáceres</t>
  </si>
  <si>
    <t xml:space="preserve">FAVORÁVEL</t>
  </si>
  <si>
    <t xml:space="preserve">DESFAVORÁVEL</t>
  </si>
  <si>
    <t xml:space="preserve">Nº</t>
  </si>
  <si>
    <t xml:space="preserve">Item (área-chave, código e descrição)</t>
  </si>
  <si>
    <t xml:space="preserve">Valor</t>
  </si>
  <si>
    <t xml:space="preserve">AMBIENTE INTERNO</t>
  </si>
  <si>
    <t xml:space="preserve">Intensidade</t>
  </si>
  <si>
    <t xml:space="preserve">AMBIENTE EXTERNO</t>
  </si>
  <si>
    <t xml:space="preserve">Forças/Fraquezas: classificação automática dos indicadores internos segundo os limiares da aba 'Indicadores (F-W)'. Oportunidades/Ameaças: fatores externos com intensidade ≥ corte definido em 'Parâmetros'.</t>
  </si>
  <si>
    <t xml:space="preserve">PAINEL REGIONAL — SÍNTESE DOS 13 MUNICÍPIOS</t>
  </si>
  <si>
    <t xml:space="preserve">Município</t>
  </si>
  <si>
    <t xml:space="preserve">Forças</t>
  </si>
  <si>
    <t xml:space="preserve">Fraquezas</t>
  </si>
  <si>
    <t xml:space="preserve">Neutros</t>
  </si>
  <si>
    <t xml:space="preserve">Sem dado</t>
  </si>
  <si>
    <t xml:space="preserve">Saldo interno (F − W)</t>
  </si>
  <si>
    <t xml:space="preserve">Oportunidades</t>
  </si>
  <si>
    <t xml:space="preserve">Ameaças</t>
  </si>
  <si>
    <t xml:space="preserve">Saldo externo (O − T)</t>
  </si>
  <si>
    <t xml:space="preserve">Barão de Melgaço</t>
  </si>
  <si>
    <t xml:space="preserve">Curvelândia</t>
  </si>
  <si>
    <t xml:space="preserve">Glória D'Oeste</t>
  </si>
  <si>
    <t xml:space="preserve">Itiquira</t>
  </si>
  <si>
    <t xml:space="preserve">Juscimeira</t>
  </si>
  <si>
    <t xml:space="preserve">Lambari D'Oeste</t>
  </si>
  <si>
    <t xml:space="preserve">Mirassol D'Oeste</t>
  </si>
  <si>
    <t xml:space="preserve">Nossa Senhora do Livramento</t>
  </si>
  <si>
    <t xml:space="preserve">Poconé</t>
  </si>
  <si>
    <t xml:space="preserve">Porto Esperidião</t>
  </si>
  <si>
    <t xml:space="preserve">Rondonópolis</t>
  </si>
  <si>
    <t xml:space="preserve">Santo Antônio do Leverger</t>
  </si>
  <si>
    <t xml:space="preserve">Frequência regional dos indicadores internos (nº de municípios)</t>
  </si>
  <si>
    <t xml:space="preserve">Cód.</t>
  </si>
  <si>
    <t xml:space="preserve">Indicador</t>
  </si>
  <si>
    <t xml:space="preserve">Força</t>
  </si>
  <si>
    <t xml:space="preserve">Neutro</t>
  </si>
  <si>
    <t xml:space="preserve">Fraqueza</t>
  </si>
  <si>
    <t xml:space="preserve">Leitura regional</t>
  </si>
  <si>
    <t xml:space="preserve">Frequência regional dos fatores externos (nº de municípios com intensidade ≥ corte)</t>
  </si>
  <si>
    <t xml:space="preserve">Fator externo</t>
  </si>
  <si>
    <t xml:space="preserve">Tipo</t>
  </si>
  <si>
    <t xml:space="preserve">Nº municípios</t>
  </si>
  <si>
    <t xml:space="preserve">Intensidade média</t>
  </si>
  <si>
    <t xml:space="preserve">Leitura regional: 'Força/Fraqueza regional' quando ao menos metade dos 13 municípios apresenta a classificação. Recomenda-se repetir a leitura sem Rondonópolis.</t>
  </si>
  <si>
    <t xml:space="preserve">RANKING LOCACIONAL — ESPECIALIZAÇÃO E DIVERSIFICAÇÃO PRODUTIVA (VAB 2021, base MT)</t>
  </si>
  <si>
    <t xml:space="preserve">Calculado a partir dos QLs e da participação da administração pública na aba 'Indicadores (F-W)'. Atualiza automaticamente quando esses dados mudarem.</t>
  </si>
  <si>
    <t xml:space="preserve">Participação setorial de MT no VAB total (2021)</t>
  </si>
  <si>
    <t xml:space="preserve">Agropecuária</t>
  </si>
  <si>
    <t xml:space="preserve">Fonte: IBGE, SIDRA Tabela 5938 — soma dos 141 municípios de MT (ver 'Fontes e Notas').</t>
  </si>
  <si>
    <t xml:space="preserve">Indústria</t>
  </si>
  <si>
    <t xml:space="preserve">Serviços (exceto adm. pública)</t>
  </si>
  <si>
    <t xml:space="preserve">Administração pública</t>
  </si>
  <si>
    <t xml:space="preserve">Participação no VAB municipal</t>
  </si>
  <si>
    <t xml:space="preserve">QL agropecuária</t>
  </si>
  <si>
    <t xml:space="preserve">QL indústria</t>
  </si>
  <si>
    <t xml:space="preserve">QL serviços</t>
  </si>
  <si>
    <t xml:space="preserve">Serviços</t>
  </si>
  <si>
    <t xml:space="preserve">Adm. pública</t>
  </si>
  <si>
    <t xml:space="preserve">Soma (conferência)</t>
  </si>
  <si>
    <t xml:space="preserve">Coef. de especialização (0–1)</t>
  </si>
  <si>
    <t xml:space="preserve">Posição especialização</t>
  </si>
  <si>
    <t xml:space="preserve">HHI setorial</t>
  </si>
  <si>
    <t xml:space="preserve">Índice de diversificação (0–1)</t>
  </si>
  <si>
    <t xml:space="preserve">Posição diversificação</t>
  </si>
  <si>
    <t xml:space="preserve">Setor dominante</t>
  </si>
  <si>
    <t xml:space="preserve">Part. do setor dominante</t>
  </si>
  <si>
    <t xml:space="preserve">Posição QL agro</t>
  </si>
  <si>
    <t xml:space="preserve">Posição QL indústria</t>
  </si>
  <si>
    <t xml:space="preserve">Posição QL serviços</t>
  </si>
  <si>
    <t xml:space="preserve">RANKING DE ESPECIALIZAÇÃO POR SETOR (ordenado pelo QL)</t>
  </si>
  <si>
    <t xml:space="preserve">AGROPECUÁRIA</t>
  </si>
  <si>
    <t xml:space="preserve">INDÚSTRIA</t>
  </si>
  <si>
    <t xml:space="preserve">SERVIÇOS (exceto adm. pública)</t>
  </si>
  <si>
    <t xml:space="preserve">Pos.</t>
  </si>
  <si>
    <t xml:space="preserve">QL</t>
  </si>
  <si>
    <t xml:space="preserve">Classificação</t>
  </si>
  <si>
    <t xml:space="preserve">RANKING DE ESPECIALIZAÇÃO GERAL E DE DIVERSIFICAÇÃO</t>
  </si>
  <si>
    <t xml:space="preserve">COEFICIENTE DE ESPECIALIZAÇÃO (maior = estrutura mais distante de MT)</t>
  </si>
  <si>
    <t xml:space="preserve">DIVERSIFICAÇÃO (maior = menos dependente de um setor)</t>
  </si>
  <si>
    <t xml:space="preserve">Coef.</t>
  </si>
  <si>
    <t xml:space="preserve">Índice</t>
  </si>
  <si>
    <t xml:space="preserve">Part. dominante</t>
  </si>
  <si>
    <t xml:space="preserve">Coeficiente de especialização = ½ Σ |s(i,mun) − s(i,MT)| sobre os 4 grandes setores do VAB. 0 = estrutura idêntica à de MT; valores altos = estrutura muito diferente (especialização relativa).</t>
  </si>
  <si>
    <t xml:space="preserve">Índice de diversificação = 1 − (HHI − 1/4)/(1 − 1/4), com HHI = Σ s(i)² dos 4 setores. 1 = VAB igualmente distribuído; 0 = concentração em um único setor.</t>
  </si>
  <si>
    <t xml:space="preserve">Limitações: (1) só 4 grandes setores do IBGE — a diversificação intrassetorial (ex.: soja vs. cana; frigorífico vs. mineração) exige dados por CNAE (RAIS, indicador EST-04); (2) a administração pública entra no cálculo, logo municípios com alta dependência do setor público podem parecer 'diversificados'; conferir a coluna 'Setor dominante'; (3) VAB de 2021 — atualizar para 2023 via SIDRA 5938.</t>
  </si>
  <si>
    <t xml:space="preserve">Especializado: QL &gt; 1,2 | Sub-representado: QL &lt; 0,8 (limiares definidos na aba 'Indicadores (F-W)').</t>
  </si>
  <si>
    <t xml:space="preserve">⚠ RANKING SWOT — COBERTURA MÍNIMA ATINGIDA; NOTAS EXTERNAS A VALIDAR</t>
  </si>
  <si>
    <t xml:space="preserve">A regra de 75% de cobertura foi atingida em 25/09/2026: 14 de 16 indicadores internos com dado e 11 de 11 fatores externos pontuados. As notas externas ainda são preliminares (uma rodada, pesquisa web-based) e precisam de consenso da equipe antes de uso em relatório.</t>
  </si>
  <si>
    <t xml:space="preserve">Indicadores com dado</t>
  </si>
  <si>
    <t xml:space="preserve">Cobertura interna</t>
  </si>
  <si>
    <t xml:space="preserve">Índice interno (F−W)/n</t>
  </si>
  <si>
    <t xml:space="preserve">Fatores pontuados</t>
  </si>
  <si>
    <t xml:space="preserve">Cobertura externa</t>
  </si>
  <si>
    <t xml:space="preserve">Índice externo (O−T)/n</t>
  </si>
  <si>
    <t xml:space="preserve">Índice SWOT</t>
  </si>
  <si>
    <t xml:space="preserve">Posição</t>
  </si>
  <si>
    <t xml:space="preserve">Status</t>
  </si>
  <si>
    <t xml:space="preserve">CLASSIFICAÇÃO ORDENADA (provisória)</t>
  </si>
  <si>
    <t xml:space="preserve">Índice interno = (Forças − Fraquezas) ÷ indicadores com dado; varia de −1 a +1 e corrige municípios com mais lacunas. Índice externo = (Oportunidades − Ameaças) ÷ fatores pontuados. Índice SWOT = média dos dois (ou só o interno enquanto não houver fatores pontuados).</t>
  </si>
  <si>
    <t xml:space="preserve">Empates recebem a mesma posição. Todos os indicadores têm peso igual; definir pesos por área-chave é uma decisão a tomar com a coordenação.</t>
  </si>
  <si>
    <t xml:space="preserve">Atenção: pela regra atual, QL &lt; 0,8 conta como Fraqueza, o que penaliza municípios especializados em outro setor (ex.: agropecuária em Rondonópolis). Revisar essa regra antes de consolidar o ranking.</t>
  </si>
  <si>
    <t xml:space="preserve">FONTES, MÉTODO E VALIDAÇÃO DOS DADOS PREENCHIDOS</t>
  </si>
  <si>
    <t xml:space="preserve">Ano</t>
  </si>
  <si>
    <t xml:space="preserve">Fonte</t>
  </si>
  <si>
    <t xml:space="preserve">Cálculo</t>
  </si>
  <si>
    <t xml:space="preserve">Validação</t>
  </si>
  <si>
    <t xml:space="preserve">AGR-01 / IND-01 / CS-01</t>
  </si>
  <si>
    <t xml:space="preserve">2021</t>
  </si>
  <si>
    <t xml:space="preserve">IBGE – PIB dos Municípios, SIDRA Tabela 5938 (VAB a preços correntes por atividade)</t>
  </si>
  <si>
    <t xml:space="preserve">QL = (VAB setor_mun / VAB total_mun) ÷ (VAB setor_MT / VAB total_MT). Base MT = soma dos 141 municípios. Serviços = exclusive administração pública. Participações MT 2021: agropecuária 37,98%; indústria 15,30%; serviços 34,84%; adm. pública 11,89%.</t>
  </si>
  <si>
    <t xml:space="preserve">Participações setoriais de Cáceres e Poconé conferem com fonte independente (Caravela, base IBGE 2021).</t>
  </si>
  <si>
    <t xml:space="preserve">EST-02</t>
  </si>
  <si>
    <t xml:space="preserve">IBGE – PIB dos Municípios, SIDRA Tabela 5938</t>
  </si>
  <si>
    <t xml:space="preserve">VAB da administração, defesa, educação e saúde públicas e seguridade social ÷ VAB total × 100. Ref. MT = 11,89%.</t>
  </si>
  <si>
    <t xml:space="preserve">Idem acima.</t>
  </si>
  <si>
    <t xml:space="preserve">EST-01</t>
  </si>
  <si>
    <t xml:space="preserve">2023</t>
  </si>
  <si>
    <t xml:space="preserve">IBGE – PIB dos Municípios 2023; população do Censo 2022</t>
  </si>
  <si>
    <t xml:space="preserve">Valores oficiais do portal IBGE Cidades e Estados. Para Cáceres e Rondonópolis: PIB 2023 ÷ população do Censo 2022 (mesmo método do IBGE). Ref. MT = R$ 74.620,05.</t>
  </si>
  <si>
    <t xml:space="preserve">O cálculo PIB 2023 ÷ Censo 2022 reproduz o valor oficial do IBGE em 9 municípios (diferença &lt; R$ 0,10).</t>
  </si>
  <si>
    <t xml:space="preserve">LIMITAÇÃO IMPORTANTE</t>
  </si>
  <si>
    <t xml:space="preserve">O VAB setorial de 2022–2023 já foi divulgado pelo IBGE (dez/2025), mas não estava acessível no ambiente em que esta planilha foi preenchida. Os QLs e o EST-02 usam 2021 e devem ser atualizados pela Tabela 5938 do SIDRA (variáveis de VAB, anos 2022–2023). O PIB per capita (EST-01) já está em 2023.</t>
  </si>
  <si>
    <t xml:space="preserve">PENDENTES (2 indicadores)</t>
  </si>
  <si>
    <t xml:space="preserve">AGR-05</t>
  </si>
  <si>
    <t xml:space="preserve">IBGE – PAM, SIDRA Tabela 5457 (valor da produção por produto). A base tratada d1_agropecuaria.csv traz só a diversificação do VBP entre lavoura, pecuária, extrativismo e pesca, que não mede a mesma coisa; por isso o indicador segue em branco.</t>
  </si>
  <si>
    <t xml:space="preserve">AGR-02, AGR-03</t>
  </si>
  <si>
    <t xml:space="preserve">Preenchidos em 25/09/2026 (ver bloco "BASES TRATADAS" abaixo).</t>
  </si>
  <si>
    <t xml:space="preserve">AGR-04</t>
  </si>
  <si>
    <t xml:space="preserve">IBGE – Censo Agropecuário 2017 (orientação técnica recebida)</t>
  </si>
  <si>
    <t xml:space="preserve">IND-02, IND-03, CS-02, EST-03, EST-04</t>
  </si>
  <si>
    <t xml:space="preserve">Preenchidos em 25/09/2026 com d1_emprego_rais.csv (ver bloco "BASES TRATADAS" abaixo).</t>
  </si>
  <si>
    <t xml:space="preserve">CS-03</t>
  </si>
  <si>
    <t xml:space="preserve">Preenchido em 25/09/2026 com d1_empresas.csv (CEMPRE 2021).</t>
  </si>
  <si>
    <t xml:space="preserve">EST-05</t>
  </si>
  <si>
    <t xml:space="preserve">Preenchido em 25/09/2026 com d6_financas.csv (ver bloco "BASES TRATADAS" abaixo).</t>
  </si>
  <si>
    <t xml:space="preserve">RODADA DE 25/09/2026 — FATORES EXTERNOS (O-A)</t>
  </si>
  <si>
    <t xml:space="preserve">OP-01 a AM-05</t>
  </si>
  <si>
    <t xml:space="preserve">Notas 0–3 atribuídas a partir de pesquisa web-based (evidências registradas na coluna E da aba 'Fatores Externos (O-A)'). Principais fontes: IBGE/PPM 2023 (rebanho de MT e Cáceres); Embrapa Pantanal, Comunicado Técnico 122; Corpo de Bombeiros-MT e INPE (área queimada 2024); Rumo/BNDES (Ferrovia Estadual); Portos e Navios e Gov. MT (Porto de Cáceres); NovaCana (Cooperb); EC 132/2023, LC 214/2025; IBGE/REGIC 2018.</t>
  </si>
  <si>
    <t xml:space="preserve">Notas preliminares de uma única rodada. Seguir o PASSO 3: revisar por consenso de dois pesquisadores e confrontar com a pesquisa de campo antes do Relatório Parcial.</t>
  </si>
  <si>
    <t xml:space="preserve">Indicadores internos pendentes</t>
  </si>
  <si>
    <t xml:space="preserve">Pendentes: AGR-04 (Censo Agro 2017, fora do catálogo) e AGR-05 (a base só tem diversificação entre lavoura, pecuária, extrativismo e pesca).</t>
  </si>
  <si>
    <t xml:space="preserve">RODADA DE 25/09/2026 — BASES TRATADAS (CATALOGO_BASES_TRATADAS, dimensão D1_PESM)</t>
  </si>
  <si>
    <t xml:space="preserve">AGR-02</t>
  </si>
  <si>
    <t xml:space="preserve">2024</t>
  </si>
  <si>
    <t xml:space="preserve">d1_agropecuaria.csv (IBGE – PAM): pam_valor_producao_brl (R$ mil) e pam_area_colhida_ha</t>
  </si>
  <si>
    <t xml:space="preserve">Valor da produção das lavouras × 1.000 ÷ área colhida (R$/ha). Ref. MT = soma dos 141 municípios = R$ 5.602,90/ha.</t>
  </si>
  <si>
    <t xml:space="preserve">Critério Razão MT (±10%). Nota: municípios pequenos com pouca área colhida (ex.: Barão de Melgaço, 354 ha) têm valor/ha alto e instável; conferir a composição das lavouras.</t>
  </si>
  <si>
    <t xml:space="preserve">AGR-03</t>
  </si>
  <si>
    <t xml:space="preserve">2019–2024</t>
  </si>
  <si>
    <t xml:space="preserve">d1_agropecuaria.csv (IBGE – PPM): rebanho_bovino</t>
  </si>
  <si>
    <t xml:space="preserve">(Efetivo 2024 ÷ efetivo 2019 − 1) × 100. Ref. MT = +3,79% (31,65 → 32,85 milhões de cabeças).</t>
  </si>
  <si>
    <t xml:space="preserve">Total MT 2024 confere com o divulgado pelo IBGE (32,9 milhões). Critério Dif. MT (±2 p.p.).</t>
  </si>
  <si>
    <t xml:space="preserve">painel_pantanal_norte.csv: pib ÷ populacao</t>
  </si>
  <si>
    <t xml:space="preserve">Conferência da planilha: pib (R$ mil) ÷ população reproduz os 13 valores já preenchidos.</t>
  </si>
  <si>
    <t xml:space="preserve">Sem alteração.</t>
  </si>
  <si>
    <t xml:space="preserve">Séries históricas</t>
  </si>
  <si>
    <t xml:space="preserve">2000–2025</t>
  </si>
  <si>
    <t xml:space="preserve">painel_pantanal_norte.csv, painel_municipios_mt.csv, d1_agropecuaria.csv</t>
  </si>
  <si>
    <t xml:space="preserve">Usadas nos gráficos de evolução da página (PIB per capita relativo a MT, composição do VAB, rebanho, valor/ha das lavouras, crédito rural, desmatamento).</t>
  </si>
  <si>
    <t xml:space="preserve">O VAB setorial das bases vai até 2021 e não inclui a administração pública; o PIB vai até 2023.</t>
  </si>
  <si>
    <t xml:space="preserve">IND-02</t>
  </si>
  <si>
    <t xml:space="preserve">d1_emprego_rais.csv (RAIS/MTE)</t>
  </si>
  <si>
    <t xml:space="preserve">Vínculos industriais = empregos_formais × participação de ind. alimentos, madeira/papel, outras indústrias e construção. Variação 2019–2024. Ref. MT = +36.92%.</t>
  </si>
  <si>
    <t xml:space="preserve">Bases muito pequenas em Barão de Melgaço, Glória D'Oeste, Itiquira e Porto Esperidião (menos de 100 vínculos em 2019): ver comentários nas células.</t>
  </si>
  <si>
    <t xml:space="preserve">IND-03</t>
  </si>
  <si>
    <t xml:space="preserve">Média das remunerações nominais dos grupos industriais, ponderada pelos vínculos. Ref. MT = R$ 2956.72.</t>
  </si>
  <si>
    <t xml:space="preserve">Grupos sem remuneração informada foram excluídos da ponderação.</t>
  </si>
  <si>
    <t xml:space="preserve">CS-02</t>
  </si>
  <si>
    <t xml:space="preserve">Vínculos em comércio e serviços (exceto adm. pública). Variação 2019–2024. Ref. MT = +38.11%.</t>
  </si>
  <si>
    <t xml:space="preserve">d1_empresas.csv (IBGE – CEMPRE) e população de painel_municipios_mt.csv</t>
  </si>
  <si>
    <t xml:space="preserve">Número de empresas ÷ população × 1.000. Ref. MT = 33.22.</t>
  </si>
  <si>
    <t xml:space="preserve">Confere com a coluna empresas_por_1000_hab da própria base.</t>
  </si>
  <si>
    <t xml:space="preserve">EST-03</t>
  </si>
  <si>
    <t xml:space="preserve">d1_emprego_rais.csv e painel_municipios_mt.csv</t>
  </si>
  <si>
    <t xml:space="preserve">Empregos formais ÷ população × 100. Ref. MT = 31.51.</t>
  </si>
  <si>
    <t xml:space="preserve">EST-04</t>
  </si>
  <si>
    <t xml:space="preserve">HHI = Σ s² das participações dos 16 grupos setoriais do emprego formal. Ref. MT = 0.1254.</t>
  </si>
  <si>
    <t xml:space="preserve">Os 16 grupos da base tratada aproximam as seções CNAE; o HHI é comparável entre municípios e MT porque usa o mesmo recorte.</t>
  </si>
  <si>
    <t xml:space="preserve">Conferência</t>
  </si>
  <si>
    <t xml:space="preserve">2021 / 2023</t>
  </si>
  <si>
    <t xml:space="preserve">d1_pib_vab.csv (IBGE – PIB dos Municípios)</t>
  </si>
  <si>
    <t xml:space="preserve">QLs (AGR-01, IND-01, CS-01) e EST-02 de 2021 recalculados com lq_agro, lq_ind, lq_serv e sh_adespss_va; participações setoriais de MT; vinculos_31dez 2023 comparado com a RAIS.</t>
  </si>
  <si>
    <t xml:space="preserve">Diferença máxima menor que 0,001 nos QLs e no EST-02; participações de MT idênticas às da aba Ranking Locacional; vínculos idênticos. O VAB setorial da base também termina em 2021, então a LIMITAÇÃO acima continua valendo.</t>
  </si>
  <si>
    <t xml:space="preserve">2022</t>
  </si>
  <si>
    <t xml:space="preserve">d6_financas.csv (Siconfi/FINBRA), coluna autonomia_fiscal_pct</t>
  </si>
  <si>
    <t xml:space="preserve">Receita própria ÷ receita total × 100 (a base não traz a receita corrente). Ref. MT = Σ receita própria ÷ Σ receita total dos 141 municípios = 18.24%.</t>
  </si>
  <si>
    <t xml:space="preserve">O cálculo com receita_propria_real ÷ receita_total_real reproduz a coluna (diferença &lt; 0,01 p.p.). Denominador diferente do previsto (receita total em vez de corrente): tratar como aproximação.</t>
  </si>
  <si>
    <t xml:space="preserve">PARÂMETROS</t>
  </si>
  <si>
    <t xml:space="preserve">Banda relativa (critério 'Razão MT')</t>
  </si>
  <si>
    <t xml:space="preserve">Proposta inicial; ajustar após validação.</t>
  </si>
  <si>
    <t xml:space="preserve">Banda em p.p. (critério 'Dif. MT (p.p.)')</t>
  </si>
  <si>
    <t xml:space="preserve">Corte de relevância dos fatores externos (0–3)</t>
  </si>
  <si>
    <t xml:space="preserve">Fator entra no quadrante se intensidade ≥ corte.</t>
  </si>
  <si>
    <t xml:space="preserve">Municípios do Pantanal Norte (Plano de Trabalho)</t>
  </si>
  <si>
    <t xml:space="preserve">INDICADORES INTERNOS — FORÇAS E FRAQUEZAS DO PESM</t>
  </si>
  <si>
    <t xml:space="preserve">Entrada: fundo amarelo / texto azul. Classificação automática: Força | Neutro | Fraqueza.</t>
  </si>
  <si>
    <t xml:space="preserve">Área-chave</t>
  </si>
  <si>
    <t xml:space="preserve">Unidade</t>
  </si>
  <si>
    <t xml:space="preserve">Sentido</t>
  </si>
  <si>
    <t xml:space="preserve">Fonte sugerida</t>
  </si>
  <si>
    <t xml:space="preserve">Ano ref.</t>
  </si>
  <si>
    <t xml:space="preserve">Critério</t>
  </si>
  <si>
    <t xml:space="preserve">Valor ref. MT</t>
  </si>
  <si>
    <t xml:space="preserve">Lim. inf. (manual)</t>
  </si>
  <si>
    <t xml:space="preserve">Lim. sup. (manual)</t>
  </si>
  <si>
    <t xml:space="preserve">Lim. inf. (efetivo)</t>
  </si>
  <si>
    <t xml:space="preserve">Lim. sup. (efetivo)</t>
  </si>
  <si>
    <t xml:space="preserve">Dado bruto</t>
  </si>
  <si>
    <t xml:space="preserve">AGR-01</t>
  </si>
  <si>
    <t xml:space="preserve">Quociente locacional do VAB agropecuário (base MT)</t>
  </si>
  <si>
    <t xml:space="preserve">índice</t>
  </si>
  <si>
    <t xml:space="preserve">+</t>
  </si>
  <si>
    <t xml:space="preserve">IBGE – PIB dos Municípios</t>
  </si>
  <si>
    <t xml:space="preserve">Absoluto</t>
  </si>
  <si>
    <t xml:space="preserve">Valor da produção das lavouras por área colhida</t>
  </si>
  <si>
    <t xml:space="preserve">R$/ha</t>
  </si>
  <si>
    <t xml:space="preserve">IBGE – PAM</t>
  </si>
  <si>
    <t xml:space="preserve">Razão MT</t>
  </si>
  <si>
    <t xml:space="preserve">Variação do efetivo bovino em 5 anos</t>
  </si>
  <si>
    <t xml:space="preserve">%</t>
  </si>
  <si>
    <t xml:space="preserve">IBGE – PPM</t>
  </si>
  <si>
    <t xml:space="preserve">Dif. MT (p.p.)</t>
  </si>
  <si>
    <t xml:space="preserve">Estabelecimentos agropecuários que receberam assistência técnica</t>
  </si>
  <si>
    <t xml:space="preserve">IBGE – Censo Agropecuário 2017</t>
  </si>
  <si>
    <t xml:space="preserve">Diversificação agrícola (1 − HHI do valor da produção das lavouras)</t>
  </si>
  <si>
    <t xml:space="preserve">índice 0–1</t>
  </si>
  <si>
    <t xml:space="preserve">Calculado a partir da PAM</t>
  </si>
  <si>
    <t xml:space="preserve">IND-01</t>
  </si>
  <si>
    <t xml:space="preserve">Quociente locacional do VAB industrial (base MT)</t>
  </si>
  <si>
    <t xml:space="preserve">Variação do emprego formal na indústria em 5 anos</t>
  </si>
  <si>
    <t xml:space="preserve">RAIS (MTE)</t>
  </si>
  <si>
    <t xml:space="preserve">Remuneração média do emprego formal industrial</t>
  </si>
  <si>
    <t xml:space="preserve">R$</t>
  </si>
  <si>
    <t xml:space="preserve">CS-01</t>
  </si>
  <si>
    <t xml:space="preserve">Comércio e Serviços</t>
  </si>
  <si>
    <t xml:space="preserve">Quociente locacional do VAB de serviços, exceto adm. pública (base MT)</t>
  </si>
  <si>
    <t xml:space="preserve">Variação do emprego formal em comércio e serviços em 5 anos</t>
  </si>
  <si>
    <t xml:space="preserve">Empresas e outras organizações ativas por mil habitantes</t>
  </si>
  <si>
    <t xml:space="preserve">un./mil hab.</t>
  </si>
  <si>
    <t xml:space="preserve">IBGE – CEMPRE</t>
  </si>
  <si>
    <t xml:space="preserve">Estrutura Econômica e Fiscal</t>
  </si>
  <si>
    <t xml:space="preserve">PIB per capita</t>
  </si>
  <si>
    <t xml:space="preserve">Participação da administração pública no VAB total</t>
  </si>
  <si>
    <t xml:space="preserve">-</t>
  </si>
  <si>
    <t xml:space="preserve">Vínculos formais por 100 habitantes</t>
  </si>
  <si>
    <t xml:space="preserve">vínculos/100 hab.</t>
  </si>
  <si>
    <t xml:space="preserve">RAIS + IBGE (população)</t>
  </si>
  <si>
    <t xml:space="preserve">Concentração setorial do emprego formal (HHI por seção CNAE)</t>
  </si>
  <si>
    <t xml:space="preserve">Receitas próprias / receita corrente</t>
  </si>
  <si>
    <t xml:space="preserve">Siconfi / FINBRA (STN)</t>
  </si>
  <si>
    <t xml:space="preserve">Notas: 'Ano ref.' deve ser igual para todos os municípios no mesmo indicador. QL com base MT: valor do estado = 1 por definição. Limiares absolutos dos QLs (0,8/1,2) são proposta inicial a validar.</t>
  </si>
  <si>
    <t xml:space="preserve">FATORES EXTERNOS — OPORTUNIDADES E AMEAÇAS</t>
  </si>
  <si>
    <t xml:space="preserve">Intensidade por município: 0 = não se aplica | 1 = baixa | 2 = média | 3 = alta. Registrar a evidência na coluna E ou em comentário. Notas preenchidas em 25/09/2026 por pesquisa web-based (preliminares; validar por consenso de dois pesquisadores e com a pesquisa de campo).</t>
  </si>
  <si>
    <t xml:space="preserve">Evidências / fontes sugeridas</t>
  </si>
  <si>
    <t xml:space="preserve">Intensidade (0–3) →</t>
  </si>
  <si>
    <t xml:space="preserve">OP-01</t>
  </si>
  <si>
    <t xml:space="preserve">Oportunidade</t>
  </si>
  <si>
    <t xml:space="preserve">Demanda externa por carne bovina e proteína animal</t>
  </si>
  <si>
    <t xml:space="preserve">Comex Stat; IMEA; Cepea. Evidências: MT tem o maior rebanho do país (≈34 mi cab., 14,2% do BR – IBGE/PPM 2023); Cáceres é o maior rebanho de MT (≈1,4 mi cab., 4º do Brasil). Nota maior onde o QL agro e o rebanho são altos (Cáceres, Porto Esperidião, Sto. Antônio do Leverger).</t>
  </si>
  <si>
    <t xml:space="preserve">OP-02</t>
  </si>
  <si>
    <t xml:space="preserve">Mercados para produtos diferenciados e certificados (carne sustentável/orgânica, origem Pantanal)</t>
  </si>
  <si>
    <t xml:space="preserve">Pesquisa web-based; pesquisa de campo. Evidências: municípios da planície pantaneira (Cáceres, Poconé, Barão de Melgaço, Sto. Antônio do Leverger) podem usar a origem 'Pantanal' e a pecuária extensiva tradicional como diferencial; Embrapa Pantanal (Com. Técnico 122) mapeia o rebanho da planície.</t>
  </si>
  <si>
    <t xml:space="preserve">OP-03</t>
  </si>
  <si>
    <t xml:space="preserve">Expansão do turismo de natureza, pesca esportiva e ecoturismo</t>
  </si>
  <si>
    <t xml:space="preserve">SEDEC-MT; Cadastur; pesquisa de campo. Evidências: Transpantaneira (Poconé), Festival Internacional de Pesca e hidrovia (Cáceres), pesca esportiva e pousadas no rio Cuiabá (Barão de Melgaço, Sto. Antônio do Leverger); águas termais (Juscimeira); turismo de negócios e Cidade de Pedra (Rondonópolis).</t>
  </si>
  <si>
    <t xml:space="preserve">OP-04</t>
  </si>
  <si>
    <t xml:space="preserve">Agroindustrialização e verticalização (frigoríficos, laticínios, sucroenergético)</t>
  </si>
  <si>
    <t xml:space="preserve">RAIS; notícias de investimentos; pesquisa de campo. Evidências: Cooperb/Destilarias Novo Milênio com unidades em Lambari D'Oeste e Mirassol D'Oeste (etanol, exportação aos EUA – NovaCana); frigorífico e laticínio em Mirassol D'Oeste; polo de esmagamento de soja e fertilizantes em Rondonópolis; ZPE de Cáceres.</t>
  </si>
  <si>
    <t xml:space="preserve">OP-05</t>
  </si>
  <si>
    <t xml:space="preserve">Corredores logísticos (rodovias federais, ferrovia, hidrovia do Paraguai)</t>
  </si>
  <si>
    <t xml:space="preserve">DNIT; ANTT; ANTAQ; pesquisa web-based. Evidências: Ferrovia Estadual Rondonópolis–Lucas do Rio Verde (Rumo; R$ 2 bi em 2025, trecho até Campo Verde previsto p/ 2026 – Rumo/BNDES); Porto de Cáceres reformado e terminal Paratudal em licenciamento (hidrovia Paraguai–Paraná); BR-163/364 (Rondonópolis, Itiquira, Juscimeira) e BR-070/174 (Cáceres, Livramento, Mirassol, Porto Esperidião).</t>
  </si>
  <si>
    <t xml:space="preserve">OP-06</t>
  </si>
  <si>
    <t xml:space="preserve">Instrumentos de fomento e financiamento (FCO, crédito rural, PSA, mercado de carbono)</t>
  </si>
  <si>
    <t xml:space="preserve">SUDECO; BCB – Matriz de Dados do Crédito Rural. Evidências: FCO (SUDECO) e crédito rural (BCB/SICOR) com maior volume onde há grãos e pecuária de escala (Itiquira, Rondonópolis, Cáceres, Sto. Antônio do Leverger); PSA e carbono com maior aderência nas áreas de Pantanal conservado.</t>
  </si>
  <si>
    <t xml:space="preserve">AM-01</t>
  </si>
  <si>
    <t xml:space="preserve">Ameaça</t>
  </si>
  <si>
    <t xml:space="preserve">Eventos climáticos extremos: secas prolongadas e incêndios no Pantanal</t>
  </si>
  <si>
    <t xml:space="preserve">INPE – BDQueimadas; MapBiomas; Cemaden. Evidências: incêndios de 2024 – Cáceres ≈87 mil ha, Poconé ≈61,5 mil ha, Barão de Melgaço ≈2,6 mil ha (Bombeiros-MT/INPE); 2020 foi o pior ano da série no Pantanal; ≈95% dos focos de 2024 começaram em propriedades privadas. Planície pantaneira = exposição alta.</t>
  </si>
  <si>
    <t xml:space="preserve">AM-02</t>
  </si>
  <si>
    <t xml:space="preserve">Volatilidade de preços de commodities (boi gordo, soja, milho)</t>
  </si>
  <si>
    <t xml:space="preserve">Cepea; IMEA; B3. Evidências: dependência de boi gordo (Cáceres, Porto Esperidião, Sto. Antônio do Leverger) e de soja/milho/algodão (Itiquira) – preços Cepea/IMEA com forte oscilação 2022–2025; Mirassol D'Oeste tem QL agro baixo (0,42).</t>
  </si>
  <si>
    <t xml:space="preserve">AM-03</t>
  </si>
  <si>
    <t xml:space="preserve">Exigências ambientais de mercados importadores e barreiras ligadas a desmatamento (ex.: EUDR)</t>
  </si>
  <si>
    <t xml:space="preserve">Pesquisa web-based; Comex Stat. Evidências: Regulamento UE 2023/1115 (EUDR) exige rastreabilidade livre de desmatamento para carne e soja; maior exposição em municípios exportadores de grãos/carne (Itiquira, Rondonópolis, Cáceres, Sto. Antônio do Leverger).</t>
  </si>
  <si>
    <t xml:space="preserve">AM-04</t>
  </si>
  <si>
    <t xml:space="preserve">Transição da Reforma Tributária (IBS/CBS) e efeitos sobre a repartição de receitas municipais</t>
  </si>
  <si>
    <t xml:space="preserve">EC 132/2023; LC 214/2025; SEFAZ-MT. Evidências: EC 132/2023 e LC 214/2025 levam o IBS ao destino; municípios com alta cota-parte de ICMS pela produção (Itiquira, Rondonópolis) tendem a perder mais na transição; municípios com peso alto da adm. pública (Barão de Melgaço) são menos expostos.</t>
  </si>
  <si>
    <t xml:space="preserve">AM-05</t>
  </si>
  <si>
    <t xml:space="preserve">Polarização regional por centros maiores (evasão de consumo, serviços e mão de obra)</t>
  </si>
  <si>
    <t xml:space="preserve">IBGE – REGIC; pesquisa de campo. Evidências: REGIC/IBGE – Cuiabá polariza Barão de Melgaço, Livramento e Sto. Antônio do Leverger; Rondonópolis (Capital Regional) polariza Juscimeira e Itiquira; Cáceres polariza Curvelândia, Glória D'Oeste, Porto Esperidião e Lambari D'Oeste.</t>
  </si>
  <si>
    <t xml:space="preserve">Novos fatores podem ser inseridos antes da última linha da tabela para que as fórmulas das abas Aux e Painel os incluam.</t>
  </si>
  <si>
    <t xml:space="preserve">Col. dado (interno)</t>
  </si>
  <si>
    <t xml:space="preserve">Col. (externo)</t>
  </si>
  <si>
    <t xml:space="preserve">Rótulo</t>
  </si>
  <si>
    <t xml:space="preserve">Ordem Força</t>
  </si>
  <si>
    <t xml:space="preserve">Ordem Fraqueza</t>
  </si>
  <si>
    <t xml:space="preserve">Flag O</t>
  </si>
  <si>
    <t xml:space="preserve">Ordem O</t>
  </si>
  <si>
    <t xml:space="preserve">Flag A</t>
  </si>
  <si>
    <t xml:space="preserve">Ordem A</t>
  </si>
  <si>
    <t xml:space="preserve">MATRIZ SWOT — BARÃO DE MELGAÇO (MT)</t>
  </si>
  <si>
    <t xml:space="preserve">Perfil Econômico-Produtivo Setorial Municipal (PESM) | Projeto DSIP-MT – Meta 1 | Pantanal Norte</t>
  </si>
  <si>
    <t xml:space="preserve">Forças/Fraquezas: classificação automática (aba 'Indicadores (F-W)'). Oportunidades/Ameaças: intensidade ≥ corte definido em 'Parâmetros' (aba 'Fatores Externos (O-A)'). Fontes na aba 'Fontes e Notas'.</t>
  </si>
  <si>
    <t xml:space="preserve">MATRIZ SWOT — CÁCERES (MT)</t>
  </si>
  <si>
    <t xml:space="preserve">MATRIZ SWOT — CURVELÂNDIA (MT)</t>
  </si>
  <si>
    <t xml:space="preserve">MATRIZ SWOT — GLÓRIA D'OESTE (MT)</t>
  </si>
  <si>
    <t xml:space="preserve">MATRIZ SWOT — ITIQUIRA (MT)</t>
  </si>
  <si>
    <t xml:space="preserve">MATRIZ SWOT — JUSCIMEIRA (MT)</t>
  </si>
  <si>
    <t xml:space="preserve">MATRIZ SWOT — LAMBARI D'OESTE (MT)</t>
  </si>
  <si>
    <t xml:space="preserve">MATRIZ SWOT — MIRASSOL D'OESTE (MT)</t>
  </si>
  <si>
    <t xml:space="preserve">MATRIZ SWOT — NOSSA SENHORA DO LIVRAMENTO (MT)</t>
  </si>
  <si>
    <t xml:space="preserve">MATRIZ SWOT — POCONÉ (MT)</t>
  </si>
  <si>
    <t xml:space="preserve">MATRIZ SWOT — PORTO ESPERIDIÃO (MT)</t>
  </si>
  <si>
    <t xml:space="preserve">MATRIZ SWOT — RONDONÓPOLIS (MT)</t>
  </si>
  <si>
    <t xml:space="preserve">MATRIZ SWOT — SANTO ANTÔNIO DO LEVERGER (MT)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</si>
</sst>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General"/>
    <numFmt numFmtId="166" formatCode="#,##0.00"/>
    <numFmt numFmtId="167" formatCode="0.0"/>
    <numFmt numFmtId="168" formatCode="0.00%"/>
    <numFmt numFmtId="169" formatCode="0.00"/>
    <numFmt numFmtId="170" formatCode="0.0%"/>
    <numFmt numFmtId="171" formatCode="0.000"/>
    <numFmt numFmtId="172" formatCode="0"/>
    <numFmt numFmtId="173" formatCode="0%"/>
    <numFmt numFmtId="174" formatCode="\+0.00;\-0.00;0.00"/>
    <numFmt numFmtId="175" formatCode="#,##0"/>
    <numFmt numFmtId="176" formatCode="0.00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9C0006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2"/>
    </font>
    <font>
      <b val="true"/>
      <sz val="14"/>
      <color rgb="FF1F4E78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FFF2CC"/>
        <bgColor rgb="FFFDF0E3"/>
      </patternFill>
    </fill>
    <fill>
      <patternFill patternType="solid">
        <fgColor rgb="FF548235"/>
        <bgColor rgb="FF595959"/>
      </patternFill>
    </fill>
    <fill>
      <patternFill patternType="solid">
        <fgColor rgb="FFC00000"/>
        <bgColor rgb="FF9C0006"/>
      </patternFill>
    </fill>
    <fill>
      <patternFill patternType="solid">
        <fgColor rgb="FFE2EFDA"/>
        <bgColor rgb="FFEAF4E4"/>
      </patternFill>
    </fill>
    <fill>
      <patternFill patternType="solid">
        <fgColor rgb="FFFCE4E4"/>
        <bgColor rgb="FFFCE4D6"/>
      </patternFill>
    </fill>
    <fill>
      <patternFill patternType="solid">
        <fgColor rgb="FF2F5597"/>
        <bgColor rgb="FF1F4E78"/>
      </patternFill>
    </fill>
    <fill>
      <patternFill patternType="solid">
        <fgColor rgb="FFC55A11"/>
        <bgColor rgb="FF993300"/>
      </patternFill>
    </fill>
    <fill>
      <patternFill patternType="solid">
        <fgColor rgb="FFDDEBF7"/>
        <bgColor rgb="FFE7EEF8"/>
      </patternFill>
    </fill>
    <fill>
      <patternFill patternType="solid">
        <fgColor rgb="FFFBE5D6"/>
        <bgColor rgb="FFFCE4D6"/>
      </patternFill>
    </fill>
    <fill>
      <patternFill patternType="solid">
        <fgColor rgb="FF1F4E78"/>
        <bgColor rgb="FF2F5597"/>
      </patternFill>
    </fill>
    <fill>
      <patternFill patternType="solid">
        <fgColor rgb="FFD9E1F2"/>
        <bgColor rgb="FFDDEBF7"/>
      </patternFill>
    </fill>
    <fill>
      <patternFill patternType="solid">
        <fgColor rgb="FFEAF4E4"/>
        <bgColor rgb="FFF2F2F2"/>
      </patternFill>
    </fill>
    <fill>
      <patternFill patternType="solid">
        <fgColor rgb="FFE7EEF8"/>
        <bgColor rgb="FFDDEBF7"/>
      </patternFill>
    </fill>
    <fill>
      <patternFill patternType="solid">
        <fgColor rgb="FFFDF0E3"/>
        <bgColor rgb="FFFFF2CC"/>
      </patternFill>
    </fill>
    <fill>
      <patternFill patternType="solid">
        <fgColor rgb="FFF2F2F2"/>
        <bgColor rgb="FFEAF4E4"/>
      </patternFill>
    </fill>
    <fill>
      <patternFill patternType="solid">
        <fgColor rgb="FFFCE4D6"/>
        <bgColor rgb="FFFBE5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5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7F60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0000FF"/>
      </font>
      <fill>
        <patternFill>
          <bgColor rgb="FFFFD96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BE5D6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7F7F7F"/>
      <rgbColor rgb="FFEAF4E4"/>
      <rgbColor rgb="FF993366"/>
      <rgbColor rgb="FFFFF2CC"/>
      <rgbColor rgb="FFDDEBF7"/>
      <rgbColor rgb="FF660066"/>
      <rgbColor rgb="FFFF8080"/>
      <rgbColor rgb="FF2F5597"/>
      <rgbColor rgb="FFD9E1F2"/>
      <rgbColor rgb="FF000080"/>
      <rgbColor rgb="FFFF00FF"/>
      <rgbColor rgb="FFFDF0E3"/>
      <rgbColor rgb="FF00FFFF"/>
      <rgbColor rgb="FF800080"/>
      <rgbColor rgb="FF800000"/>
      <rgbColor rgb="FF008080"/>
      <rgbColor rgb="FF0000FF"/>
      <rgbColor rgb="FF00CCFF"/>
      <rgbColor rgb="FFE7EEF8"/>
      <rgbColor rgb="FFC6EFCE"/>
      <rgbColor rgb="FFFFEB9C"/>
      <rgbColor rgb="FFE2EFDA"/>
      <rgbColor rgb="FFFCE4D6"/>
      <rgbColor rgb="FFFCE4E4"/>
      <rgbColor rgb="FFFFC7CE"/>
      <rgbColor rgb="FF3366FF"/>
      <rgbColor rgb="FF33CCCC"/>
      <rgbColor rgb="FF99CC00"/>
      <rgbColor rgb="FFFFD966"/>
      <rgbColor rgb="FFFF9900"/>
      <rgbColor rgb="FFC55A11"/>
      <rgbColor rgb="FF595959"/>
      <rgbColor rgb="FFF2F2F2"/>
      <rgbColor rgb="FF003366"/>
      <rgbColor rgb="FF548235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0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34.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5" t="s">
        <v>5</v>
      </c>
    </row>
    <row r="6" customFormat="false" ht="23.25" hidden="false" customHeight="true" outlineLevel="0" collapsed="false">
      <c r="A6" s="4" t="s">
        <v>6</v>
      </c>
      <c r="B6" s="5" t="s">
        <v>7</v>
      </c>
    </row>
    <row r="7" customFormat="false" ht="34.5" hidden="false" customHeight="true" outlineLevel="0" collapsed="false">
      <c r="A7" s="4" t="s">
        <v>8</v>
      </c>
      <c r="B7" s="5" t="s">
        <v>9</v>
      </c>
    </row>
    <row r="8" customFormat="false" ht="23.25" hidden="false" customHeight="true" outlineLevel="0" collapsed="false">
      <c r="A8" s="4" t="s">
        <v>10</v>
      </c>
      <c r="B8" s="5" t="s">
        <v>11</v>
      </c>
    </row>
    <row r="9" customFormat="false" ht="34.5" hidden="false" customHeight="true" outlineLevel="0" collapsed="false">
      <c r="A9" s="4" t="s">
        <v>12</v>
      </c>
      <c r="B9" s="5" t="s">
        <v>13</v>
      </c>
    </row>
    <row r="10" customFormat="false" ht="23.25" hidden="false" customHeight="true" outlineLevel="0" collapsed="false">
      <c r="A10" s="4" t="s">
        <v>14</v>
      </c>
      <c r="B10" s="5" t="s">
        <v>15</v>
      </c>
    </row>
    <row r="11" customFormat="false" ht="15" hidden="false" customHeight="true" outlineLevel="0" collapsed="false">
      <c r="A11" s="4" t="s">
        <v>16</v>
      </c>
      <c r="B11" s="5" t="s">
        <v>17</v>
      </c>
    </row>
    <row r="12" customFormat="false" ht="34.5" hidden="false" customHeight="true" outlineLevel="0" collapsed="false">
      <c r="A12" s="4" t="s">
        <v>18</v>
      </c>
      <c r="B12" s="5" t="s">
        <v>19</v>
      </c>
    </row>
    <row r="13" customFormat="false" ht="23.25" hidden="false" customHeight="true" outlineLevel="0" collapsed="false">
      <c r="A13" s="4" t="s">
        <v>20</v>
      </c>
      <c r="B13" s="5" t="s">
        <v>21</v>
      </c>
    </row>
    <row r="14" customFormat="false" ht="23.25" hidden="false" customHeight="true" outlineLevel="0" collapsed="false">
      <c r="A14" s="6" t="s">
        <v>22</v>
      </c>
      <c r="B14" s="5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"/>
    <col collapsed="false" customWidth="true" hidden="false" outlineLevel="0" max="3" min="3" style="1" width="55"/>
    <col collapsed="false" customWidth="true" hidden="false" outlineLevel="0" max="4" min="4" style="1" width="12"/>
    <col collapsed="false" customWidth="true" hidden="false" outlineLevel="0" max="5" min="5" style="1" width="2"/>
    <col collapsed="false" customWidth="true" hidden="false" outlineLevel="0" max="6" min="6" style="1" width="5"/>
    <col collapsed="false" customWidth="true" hidden="false" outlineLevel="0" max="7" min="7" style="1" width="55"/>
    <col collapsed="false" customWidth="true" hidden="false" outlineLevel="0" max="8" min="8" style="1" width="12"/>
  </cols>
  <sheetData>
    <row r="1" customFormat="false" ht="15.75" hidden="false" customHeight="true" outlineLevel="0" collapsed="false">
      <c r="B1" s="2" t="s">
        <v>24</v>
      </c>
    </row>
    <row r="3" customFormat="false" ht="15" hidden="false" customHeight="true" outlineLevel="0" collapsed="false">
      <c r="B3" s="7" t="s">
        <v>25</v>
      </c>
      <c r="C3" s="8" t="s">
        <v>26</v>
      </c>
      <c r="D3" s="8"/>
      <c r="F3" s="9" t="str">
        <f aca="false">"Indicadores: "&amp;COUNTIF(Aux!$C$6:$C$21,"Neutro")&amp;" neutros | "&amp;(COUNTA(Aux!$A$6:$A$21)-COUNTIF(Aux!$C$6:$C$21,"Força")-COUNTIF(Aux!$C$6:$C$21,"Fraqueza")-COUNTIF(Aux!$C$6:$C$21,"Neutro"))&amp;" sem dado"</f>
        <v>Indicadores: 3 neutros | 2 sem dado</v>
      </c>
    </row>
    <row r="5" customFormat="false" ht="15" hidden="false" customHeight="true" outlineLevel="0" collapsed="false">
      <c r="B5" s="10" t="s">
        <v>27</v>
      </c>
      <c r="C5" s="10"/>
      <c r="D5" s="10"/>
      <c r="F5" s="10" t="s">
        <v>28</v>
      </c>
      <c r="G5" s="10"/>
      <c r="H5" s="10"/>
    </row>
    <row r="6" customFormat="false" ht="15" hidden="false" customHeight="true" outlineLevel="0" collapsed="false">
      <c r="B6" s="11" t="str">
        <f aca="false">"FORÇAS (S) — "&amp;COUNTIF(Aux!$C$6:$C$21,"Força")&amp;" item(ns)"</f>
        <v>FORÇAS (S) — 3 item(ns)</v>
      </c>
      <c r="C6" s="11"/>
      <c r="D6" s="11"/>
      <c r="F6" s="12" t="str">
        <f aca="false">"FRAQUEZAS (W) — "&amp;COUNTIF(Aux!$C$6:$C$21,"Fraqueza")&amp;" item(ns)"</f>
        <v>FRAQUEZAS (W) — 8 item(ns)</v>
      </c>
      <c r="G6" s="12"/>
      <c r="H6" s="12"/>
    </row>
    <row r="7" customFormat="false" ht="15" hidden="false" customHeight="true" outlineLevel="0" collapsed="false">
      <c r="B7" s="13" t="s">
        <v>29</v>
      </c>
      <c r="C7" s="13" t="s">
        <v>30</v>
      </c>
      <c r="D7" s="13" t="s">
        <v>31</v>
      </c>
      <c r="F7" s="14" t="s">
        <v>29</v>
      </c>
      <c r="G7" s="14" t="s">
        <v>30</v>
      </c>
      <c r="H7" s="14" t="s">
        <v>31</v>
      </c>
    </row>
    <row r="8" customFormat="false" ht="30" hidden="false" customHeight="true" outlineLevel="0" collapsed="false">
      <c r="A8" s="15" t="s">
        <v>32</v>
      </c>
      <c r="B8" s="16" t="n">
        <f aca="false">IF(C8="","",1)</f>
        <v>1</v>
      </c>
      <c r="C8" s="17" t="str">
        <f aca="false">IFERROR(INDEX(Aux!$B$6:$B$21,MATCH(1,Aux!$E$6:$E$21,0)),"")</f>
        <v>[Agropecuária] AGR-03 – Variação do efetivo bovino em 5 anos (%)</v>
      </c>
      <c r="D8" s="18" t="n">
        <f aca="false">IFERROR(INDEX(Aux!$D$6:$D$21,MATCH(1,Aux!$E$6:$E$21,0)),"")</f>
        <v>22.65</v>
      </c>
      <c r="F8" s="19" t="n">
        <f aca="false">IF(G8="","",1)</f>
        <v>1</v>
      </c>
      <c r="G8" s="20" t="str">
        <f aca="false">IFERROR(INDEX(Aux!$B$6:$B$21,MATCH(1,Aux!$F$6:$F$21,0)),"")</f>
        <v>[Agropecuária] AGR-01 – Quociente locacional do VAB agropecuário (base MT) (índice)</v>
      </c>
      <c r="H8" s="21" t="n">
        <f aca="false">IFERROR(INDEX(Aux!$D$6:$D$21,MATCH(1,Aux!$F$6:$F$21,0)),"")</f>
        <v>0.3713</v>
      </c>
    </row>
    <row r="9" customFormat="false" ht="30" hidden="false" customHeight="true" outlineLevel="0" collapsed="false">
      <c r="A9" s="15"/>
      <c r="B9" s="16" t="n">
        <f aca="false">IF(C9="","",2)</f>
        <v>2</v>
      </c>
      <c r="C9" s="17" t="str">
        <f aca="false">IFERROR(INDEX(Aux!$B$6:$B$21,MATCH(2,Aux!$E$6:$E$21,0)),"")</f>
        <v>[Indústria] IND-02 – Variação do emprego formal na indústria em 5 anos (%)</v>
      </c>
      <c r="D9" s="18" t="n">
        <f aca="false">IFERROR(INDEX(Aux!$D$6:$D$21,MATCH(2,Aux!$E$6:$E$21,0)),"")</f>
        <v>58.91</v>
      </c>
      <c r="F9" s="19" t="n">
        <f aca="false">IF(G9="","",2)</f>
        <v>2</v>
      </c>
      <c r="G9" s="20" t="str">
        <f aca="false">IFERROR(INDEX(Aux!$B$6:$B$21,MATCH(2,Aux!$F$6:$F$21,0)),"")</f>
        <v>[Indústria] IND-01 – Quociente locacional do VAB industrial (base MT) (índice)</v>
      </c>
      <c r="H9" s="21" t="n">
        <f aca="false">IFERROR(INDEX(Aux!$D$6:$D$21,MATCH(2,Aux!$F$6:$F$21,0)),"")</f>
        <v>0.6374</v>
      </c>
    </row>
    <row r="10" customFormat="false" ht="30" hidden="false" customHeight="true" outlineLevel="0" collapsed="false">
      <c r="A10" s="15"/>
      <c r="B10" s="16" t="n">
        <f aca="false">IF(C10="","",3)</f>
        <v>3</v>
      </c>
      <c r="C10" s="17" t="str">
        <f aca="false">IFERROR(INDEX(Aux!$B$6:$B$21,MATCH(3,Aux!$E$6:$E$21,0)),"")</f>
        <v>[Comércio e Serviços] CS-01 – Quociente locacional do VAB de serviços, exceto adm. pública (base MT) (índice)</v>
      </c>
      <c r="D10" s="18" t="n">
        <f aca="false">IFERROR(INDEX(Aux!$D$6:$D$21,MATCH(3,Aux!$E$6:$E$21,0)),"")</f>
        <v>1.3013</v>
      </c>
      <c r="F10" s="19" t="n">
        <f aca="false">IF(G10="","",3)</f>
        <v>3</v>
      </c>
      <c r="G10" s="20" t="str">
        <f aca="false">IFERROR(INDEX(Aux!$B$6:$B$21,MATCH(3,Aux!$F$6:$F$21,0)),"")</f>
        <v>[Indústria] IND-03 – Remuneração média do emprego formal industrial (R$)</v>
      </c>
      <c r="H10" s="21" t="n">
        <f aca="false">IFERROR(INDEX(Aux!$D$6:$D$21,MATCH(3,Aux!$F$6:$F$21,0)),"")</f>
        <v>2345.65</v>
      </c>
    </row>
    <row r="11" customFormat="false" ht="30" hidden="false" customHeight="true" outlineLevel="0" collapsed="false">
      <c r="A11" s="15"/>
      <c r="B11" s="16" t="str">
        <f aca="false">IF(C11="","",4)</f>
        <v/>
      </c>
      <c r="C11" s="17" t="str">
        <f aca="false">IFERROR(INDEX(Aux!$B$6:$B$21,MATCH(4,Aux!$E$6:$E$21,0)),"")</f>
        <v/>
      </c>
      <c r="D11" s="18" t="str">
        <f aca="false">IFERROR(INDEX(Aux!$D$6:$D$21,MATCH(4,Aux!$E$6:$E$21,0)),"")</f>
        <v/>
      </c>
      <c r="F11" s="19" t="n">
        <f aca="false">IF(G11="","",4)</f>
        <v>4</v>
      </c>
      <c r="G11" s="20" t="str">
        <f aca="false">IFERROR(INDEX(Aux!$B$6:$B$21,MATCH(4,Aux!$F$6:$F$21,0)),"")</f>
        <v>[Comércio e Serviços] CS-02 – Variação do emprego formal em comércio e serviços em 5 anos (%)</v>
      </c>
      <c r="H11" s="21" t="n">
        <f aca="false">IFERROR(INDEX(Aux!$D$6:$D$21,MATCH(4,Aux!$F$6:$F$21,0)),"")</f>
        <v>13.05</v>
      </c>
    </row>
    <row r="12" customFormat="false" ht="30" hidden="false" customHeight="true" outlineLevel="0" collapsed="false">
      <c r="A12" s="15"/>
      <c r="B12" s="16" t="str">
        <f aca="false">IF(C12="","",5)</f>
        <v/>
      </c>
      <c r="C12" s="17" t="str">
        <f aca="false">IFERROR(INDEX(Aux!$B$6:$B$21,MATCH(5,Aux!$E$6:$E$21,0)),"")</f>
        <v/>
      </c>
      <c r="D12" s="18" t="str">
        <f aca="false">IFERROR(INDEX(Aux!$D$6:$D$21,MATCH(5,Aux!$E$6:$E$21,0)),"")</f>
        <v/>
      </c>
      <c r="F12" s="19" t="n">
        <f aca="false">IF(G12="","",5)</f>
        <v>5</v>
      </c>
      <c r="G12" s="20" t="str">
        <f aca="false">IFERROR(INDEX(Aux!$B$6:$B$21,MATCH(5,Aux!$F$6:$F$21,0)),"")</f>
        <v>[Comércio e Serviços] CS-03 – Empresas e outras organizações ativas por mil habitantes (un./mil hab.)</v>
      </c>
      <c r="H12" s="21" t="n">
        <f aca="false">IFERROR(INDEX(Aux!$D$6:$D$21,MATCH(5,Aux!$F$6:$F$21,0)),"")</f>
        <v>19.41</v>
      </c>
    </row>
    <row r="13" customFormat="false" ht="30" hidden="false" customHeight="true" outlineLevel="0" collapsed="false">
      <c r="A13" s="15"/>
      <c r="B13" s="16" t="str">
        <f aca="false">IF(C13="","",6)</f>
        <v/>
      </c>
      <c r="C13" s="17" t="str">
        <f aca="false">IFERROR(INDEX(Aux!$B$6:$B$21,MATCH(6,Aux!$E$6:$E$21,0)),"")</f>
        <v/>
      </c>
      <c r="D13" s="18" t="str">
        <f aca="false">IFERROR(INDEX(Aux!$D$6:$D$21,MATCH(6,Aux!$E$6:$E$21,0)),"")</f>
        <v/>
      </c>
      <c r="F13" s="19" t="n">
        <f aca="false">IF(G13="","",6)</f>
        <v>6</v>
      </c>
      <c r="G13" s="20" t="str">
        <f aca="false">IFERROR(INDEX(Aux!$B$6:$B$21,MATCH(6,Aux!$F$6:$F$21,0)),"")</f>
        <v>[Estrutura Econômica e Fiscal] EST-01 – PIB per capita (R$)</v>
      </c>
      <c r="H13" s="21" t="n">
        <f aca="false">IFERROR(INDEX(Aux!$D$6:$D$21,MATCH(6,Aux!$F$6:$F$21,0)),"")</f>
        <v>31174.15</v>
      </c>
    </row>
    <row r="14" customFormat="false" ht="30" hidden="false" customHeight="true" outlineLevel="0" collapsed="false">
      <c r="A14" s="15"/>
      <c r="B14" s="16" t="str">
        <f aca="false">IF(C14="","",7)</f>
        <v/>
      </c>
      <c r="C14" s="17" t="str">
        <f aca="false">IFERROR(INDEX(Aux!$B$6:$B$21,MATCH(7,Aux!$E$6:$E$21,0)),"")</f>
        <v/>
      </c>
      <c r="D14" s="18" t="str">
        <f aca="false">IFERROR(INDEX(Aux!$D$6:$D$21,MATCH(7,Aux!$E$6:$E$21,0)),"")</f>
        <v/>
      </c>
      <c r="F14" s="19" t="n">
        <f aca="false">IF(G14="","",7)</f>
        <v>7</v>
      </c>
      <c r="G14" s="20" t="str">
        <f aca="false">IFERROR(INDEX(Aux!$B$6:$B$21,MATCH(7,Aux!$F$6:$F$21,0)),"")</f>
        <v>[Estrutura Econômica e Fiscal] EST-02 – Participação da administração pública no VAB total (%)</v>
      </c>
      <c r="H14" s="21" t="n">
        <f aca="false">IFERROR(INDEX(Aux!$D$6:$D$21,MATCH(7,Aux!$F$6:$F$21,0)),"")</f>
        <v>30.82</v>
      </c>
    </row>
    <row r="15" customFormat="false" ht="30" hidden="false" customHeight="true" outlineLevel="0" collapsed="false">
      <c r="A15" s="15"/>
      <c r="B15" s="16" t="str">
        <f aca="false">IF(C15="","",8)</f>
        <v/>
      </c>
      <c r="C15" s="17" t="str">
        <f aca="false">IFERROR(INDEX(Aux!$B$6:$B$21,MATCH(8,Aux!$E$6:$E$21,0)),"")</f>
        <v/>
      </c>
      <c r="D15" s="18" t="str">
        <f aca="false">IFERROR(INDEX(Aux!$D$6:$D$21,MATCH(8,Aux!$E$6:$E$21,0)),"")</f>
        <v/>
      </c>
      <c r="F15" s="19" t="n">
        <f aca="false">IF(G15="","",8)</f>
        <v>8</v>
      </c>
      <c r="G15" s="20" t="str">
        <f aca="false">IFERROR(INDEX(Aux!$B$6:$B$21,MATCH(8,Aux!$F$6:$F$21,0)),"")</f>
        <v>[Estrutura Econômica e Fiscal] EST-03 – Vínculos formais por 100 habitantes (vínculos/100 hab.)</v>
      </c>
      <c r="H15" s="21" t="n">
        <f aca="false">IFERROR(INDEX(Aux!$D$6:$D$21,MATCH(8,Aux!$F$6:$F$21,0)),"")</f>
        <v>18.4</v>
      </c>
    </row>
    <row r="16" customFormat="false" ht="30" hidden="false" customHeight="true" outlineLevel="0" collapsed="false">
      <c r="A16" s="15"/>
      <c r="B16" s="16" t="str">
        <f aca="false">IF(C16="","",9)</f>
        <v/>
      </c>
      <c r="C16" s="17" t="str">
        <f aca="false">IFERROR(INDEX(Aux!$B$6:$B$21,MATCH(9,Aux!$E$6:$E$21,0)),"")</f>
        <v/>
      </c>
      <c r="D16" s="18" t="str">
        <f aca="false">IFERROR(INDEX(Aux!$D$6:$D$21,MATCH(9,Aux!$E$6:$E$21,0)),"")</f>
        <v/>
      </c>
      <c r="F16" s="19" t="str">
        <f aca="false">IF(G16="","",9)</f>
        <v/>
      </c>
      <c r="G16" s="20" t="str">
        <f aca="false">IFERROR(INDEX(Aux!$B$6:$B$21,MATCH(9,Aux!$F$6:$F$21,0)),"")</f>
        <v/>
      </c>
      <c r="H16" s="21" t="str">
        <f aca="false">IFERROR(INDEX(Aux!$D$6:$D$21,MATCH(9,Aux!$F$6:$F$21,0)),"")</f>
        <v/>
      </c>
    </row>
    <row r="17" customFormat="false" ht="30" hidden="false" customHeight="true" outlineLevel="0" collapsed="false">
      <c r="A17" s="15"/>
      <c r="B17" s="16" t="str">
        <f aca="false">IF(C17="","",10)</f>
        <v/>
      </c>
      <c r="C17" s="17" t="str">
        <f aca="false">IFERROR(INDEX(Aux!$B$6:$B$21,MATCH(10,Aux!$E$6:$E$21,0)),"")</f>
        <v/>
      </c>
      <c r="D17" s="18" t="str">
        <f aca="false">IFERROR(INDEX(Aux!$D$6:$D$21,MATCH(10,Aux!$E$6:$E$21,0)),"")</f>
        <v/>
      </c>
      <c r="F17" s="19" t="str">
        <f aca="false">IF(G17="","",10)</f>
        <v/>
      </c>
      <c r="G17" s="20" t="str">
        <f aca="false">IFERROR(INDEX(Aux!$B$6:$B$21,MATCH(10,Aux!$F$6:$F$21,0)),"")</f>
        <v/>
      </c>
      <c r="H17" s="21" t="str">
        <f aca="false">IFERROR(INDEX(Aux!$D$6:$D$21,MATCH(10,Aux!$F$6:$F$21,0)),"")</f>
        <v/>
      </c>
    </row>
    <row r="18" customFormat="false" ht="30" hidden="false" customHeight="true" outlineLevel="0" collapsed="false">
      <c r="A18" s="15"/>
      <c r="B18" s="16" t="str">
        <f aca="false">IF(C18="","",11)</f>
        <v/>
      </c>
      <c r="C18" s="17" t="str">
        <f aca="false">IFERROR(INDEX(Aux!$B$6:$B$21,MATCH(11,Aux!$E$6:$E$21,0)),"")</f>
        <v/>
      </c>
      <c r="D18" s="18" t="str">
        <f aca="false">IFERROR(INDEX(Aux!$D$6:$D$21,MATCH(11,Aux!$E$6:$E$21,0)),"")</f>
        <v/>
      </c>
      <c r="F18" s="19" t="str">
        <f aca="false">IF(G18="","",11)</f>
        <v/>
      </c>
      <c r="G18" s="20" t="str">
        <f aca="false">IFERROR(INDEX(Aux!$B$6:$B$21,MATCH(11,Aux!$F$6:$F$21,0)),"")</f>
        <v/>
      </c>
      <c r="H18" s="21" t="str">
        <f aca="false">IFERROR(INDEX(Aux!$D$6:$D$21,MATCH(11,Aux!$F$6:$F$21,0)),"")</f>
        <v/>
      </c>
    </row>
    <row r="19" customFormat="false" ht="30" hidden="false" customHeight="true" outlineLevel="0" collapsed="false">
      <c r="A19" s="15"/>
      <c r="B19" s="16" t="str">
        <f aca="false">IF(C19="","",12)</f>
        <v/>
      </c>
      <c r="C19" s="17" t="str">
        <f aca="false">IFERROR(INDEX(Aux!$B$6:$B$21,MATCH(12,Aux!$E$6:$E$21,0)),"")</f>
        <v/>
      </c>
      <c r="D19" s="18" t="str">
        <f aca="false">IFERROR(INDEX(Aux!$D$6:$D$21,MATCH(12,Aux!$E$6:$E$21,0)),"")</f>
        <v/>
      </c>
      <c r="F19" s="19" t="str">
        <f aca="false">IF(G19="","",12)</f>
        <v/>
      </c>
      <c r="G19" s="20" t="str">
        <f aca="false">IFERROR(INDEX(Aux!$B$6:$B$21,MATCH(12,Aux!$F$6:$F$21,0)),"")</f>
        <v/>
      </c>
      <c r="H19" s="21" t="str">
        <f aca="false">IFERROR(INDEX(Aux!$D$6:$D$21,MATCH(12,Aux!$F$6:$F$21,0)),"")</f>
        <v/>
      </c>
    </row>
    <row r="20" customFormat="false" ht="15" hidden="false" customHeight="true" outlineLevel="0" collapsed="false">
      <c r="C20" s="22" t="str">
        <f aca="false">IF(COUNTIF(Aux!$C$6:$C$21,"Força")&gt;12,"+ "&amp;(COUNTIF(Aux!$C$6:$C$21,"Força")-12)&amp;" item(ns) não exibido(s) — ver abas de dados","")</f>
        <v/>
      </c>
      <c r="G20" s="22" t="str">
        <f aca="false">IF(COUNTIF(Aux!$C$6:$C$21,"Fraqueza")&gt;12,"+ "&amp;(COUNTIF(Aux!$C$6:$C$21,"Fraqueza")-12)&amp;" item(ns) não exibido(s) — ver abas de dados","")</f>
        <v/>
      </c>
    </row>
    <row r="22" customFormat="false" ht="15" hidden="false" customHeight="true" outlineLevel="0" collapsed="false">
      <c r="B22" s="23" t="str">
        <f aca="false">"OPORTUNIDADES (O) — "&amp;SUM(Aux!$L$6:$L$16)&amp;" item(ns)"</f>
        <v>OPORTUNIDADES (O) — 6 item(ns)</v>
      </c>
      <c r="C22" s="23"/>
      <c r="D22" s="23"/>
      <c r="F22" s="24" t="str">
        <f aca="false">"AMEAÇAS (T) — "&amp;SUM(Aux!$N$6:$N$16)&amp;" item(ns)"</f>
        <v>AMEAÇAS (T) — 4 item(ns)</v>
      </c>
      <c r="G22" s="24"/>
      <c r="H22" s="24"/>
    </row>
    <row r="23" customFormat="false" ht="15" hidden="false" customHeight="true" outlineLevel="0" collapsed="false">
      <c r="B23" s="25" t="s">
        <v>29</v>
      </c>
      <c r="C23" s="25" t="s">
        <v>30</v>
      </c>
      <c r="D23" s="25" t="s">
        <v>33</v>
      </c>
      <c r="F23" s="26" t="s">
        <v>29</v>
      </c>
      <c r="G23" s="26" t="s">
        <v>30</v>
      </c>
      <c r="H23" s="26" t="s">
        <v>33</v>
      </c>
    </row>
    <row r="24" customFormat="false" ht="30" hidden="false" customHeight="true" outlineLevel="0" collapsed="false">
      <c r="A24" s="15" t="s">
        <v>34</v>
      </c>
      <c r="B24" s="27" t="n">
        <f aca="false">IF(C24="","",1)</f>
        <v>1</v>
      </c>
      <c r="C24" s="28" t="str">
        <f aca="false">IFERROR(INDEX(Aux!$I$6:$I$16,MATCH(1,Aux!$M$6:$M$16,0)),"")</f>
        <v>[Agropecuária] OP-01 – Demanda externa por carne bovina e proteína animal</v>
      </c>
      <c r="D24" s="29" t="n">
        <f aca="false">IFERROR(INDEX(Aux!$K$6:$K$16,MATCH(1,Aux!$M$6:$M$16,0)),"")</f>
        <v>3</v>
      </c>
      <c r="F24" s="30" t="n">
        <f aca="false">IF(G24="","",1)</f>
        <v>1</v>
      </c>
      <c r="G24" s="31" t="str">
        <f aca="false">IFERROR(INDEX(Aux!$I$6:$I$16,MATCH(1,Aux!$O$6:$O$16,0)),"")</f>
        <v>[Agropecuária] AM-01 – Eventos climáticos extremos: secas prolongadas e incêndios no Pantanal</v>
      </c>
      <c r="H24" s="32" t="n">
        <f aca="false">IFERROR(INDEX(Aux!$K$6:$K$16,MATCH(1,Aux!$O$6:$O$16,0)),"")</f>
        <v>3</v>
      </c>
    </row>
    <row r="25" customFormat="false" ht="30" hidden="false" customHeight="true" outlineLevel="0" collapsed="false">
      <c r="A25" s="15"/>
      <c r="B25" s="27" t="n">
        <f aca="false">IF(C25="","",2)</f>
        <v>2</v>
      </c>
      <c r="C25" s="28" t="str">
        <f aca="false">IFERROR(INDEX(Aux!$I$6:$I$16,MATCH(2,Aux!$M$6:$M$16,0)),"")</f>
        <v>[Agropecuária] OP-02 – Mercados para produtos diferenciados e certificados (carne sustentável/orgânica, origem Pantanal)</v>
      </c>
      <c r="D25" s="29" t="n">
        <f aca="false">IFERROR(INDEX(Aux!$K$6:$K$16,MATCH(2,Aux!$M$6:$M$16,0)),"")</f>
        <v>3</v>
      </c>
      <c r="F25" s="30" t="n">
        <f aca="false">IF(G25="","",2)</f>
        <v>2</v>
      </c>
      <c r="G25" s="31" t="str">
        <f aca="false">IFERROR(INDEX(Aux!$I$6:$I$16,MATCH(2,Aux!$O$6:$O$16,0)),"")</f>
        <v>[Agropecuária] AM-02 – Volatilidade de preços de commodities (boi gordo, soja, milho)</v>
      </c>
      <c r="H25" s="32" t="n">
        <f aca="false">IFERROR(INDEX(Aux!$K$6:$K$16,MATCH(2,Aux!$O$6:$O$16,0)),"")</f>
        <v>3</v>
      </c>
    </row>
    <row r="26" customFormat="false" ht="30" hidden="false" customHeight="true" outlineLevel="0" collapsed="false">
      <c r="A26" s="15"/>
      <c r="B26" s="27" t="n">
        <f aca="false">IF(C26="","",3)</f>
        <v>3</v>
      </c>
      <c r="C26" s="28" t="str">
        <f aca="false">IFERROR(INDEX(Aux!$I$6:$I$16,MATCH(3,Aux!$M$6:$M$16,0)),"")</f>
        <v>[Comércio e Serviços] OP-03 – Expansão do turismo de natureza, pesca esportiva e ecoturismo</v>
      </c>
      <c r="D26" s="29" t="n">
        <f aca="false">IFERROR(INDEX(Aux!$K$6:$K$16,MATCH(3,Aux!$M$6:$M$16,0)),"")</f>
        <v>3</v>
      </c>
      <c r="F26" s="30" t="n">
        <f aca="false">IF(G26="","",3)</f>
        <v>3</v>
      </c>
      <c r="G26" s="31" t="str">
        <f aca="false">IFERROR(INDEX(Aux!$I$6:$I$16,MATCH(3,Aux!$O$6:$O$16,0)),"")</f>
        <v>[Agropecuária] AM-03 – Exigências ambientais de mercados importadores e barreiras ligadas a desmatamento (ex.: EUDR)</v>
      </c>
      <c r="H26" s="32" t="n">
        <f aca="false">IFERROR(INDEX(Aux!$K$6:$K$16,MATCH(3,Aux!$O$6:$O$16,0)),"")</f>
        <v>3</v>
      </c>
    </row>
    <row r="27" customFormat="false" ht="30" hidden="false" customHeight="true" outlineLevel="0" collapsed="false">
      <c r="A27" s="15"/>
      <c r="B27" s="27" t="n">
        <f aca="false">IF(C27="","",4)</f>
        <v>4</v>
      </c>
      <c r="C27" s="28" t="str">
        <f aca="false">IFERROR(INDEX(Aux!$I$6:$I$16,MATCH(4,Aux!$M$6:$M$16,0)),"")</f>
        <v>[Indústria] OP-04 – Agroindustrialização e verticalização (frigoríficos, laticínios, sucroenergético)</v>
      </c>
      <c r="D27" s="29" t="n">
        <f aca="false">IFERROR(INDEX(Aux!$K$6:$K$16,MATCH(4,Aux!$M$6:$M$16,0)),"")</f>
        <v>2</v>
      </c>
      <c r="F27" s="30" t="n">
        <f aca="false">IF(G27="","",4)</f>
        <v>4</v>
      </c>
      <c r="G27" s="31" t="str">
        <f aca="false">IFERROR(INDEX(Aux!$I$6:$I$16,MATCH(4,Aux!$O$6:$O$16,0)),"")</f>
        <v>[Estrutura Econômica e Fiscal] AM-04 – Transição da Reforma Tributária (IBS/CBS) e efeitos sobre a repartição de receitas municipais</v>
      </c>
      <c r="H27" s="32" t="n">
        <f aca="false">IFERROR(INDEX(Aux!$K$6:$K$16,MATCH(4,Aux!$O$6:$O$16,0)),"")</f>
        <v>2</v>
      </c>
    </row>
    <row r="28" customFormat="false" ht="30" hidden="false" customHeight="true" outlineLevel="0" collapsed="false">
      <c r="A28" s="15"/>
      <c r="B28" s="27" t="n">
        <f aca="false">IF(C28="","",5)</f>
        <v>5</v>
      </c>
      <c r="C28" s="28" t="str">
        <f aca="false">IFERROR(INDEX(Aux!$I$6:$I$16,MATCH(5,Aux!$M$6:$M$16,0)),"")</f>
        <v>[Estrutura Econômica e Fiscal] OP-05 – Corredores logísticos (rodovias federais, ferrovia, hidrovia do Paraguai)</v>
      </c>
      <c r="D28" s="29" t="n">
        <f aca="false">IFERROR(INDEX(Aux!$K$6:$K$16,MATCH(5,Aux!$M$6:$M$16,0)),"")</f>
        <v>3</v>
      </c>
      <c r="F28" s="30" t="str">
        <f aca="false">IF(G28="","",5)</f>
        <v/>
      </c>
      <c r="G28" s="31" t="str">
        <f aca="false">IFERROR(INDEX(Aux!$I$6:$I$16,MATCH(5,Aux!$O$6:$O$16,0)),"")</f>
        <v/>
      </c>
      <c r="H28" s="32" t="str">
        <f aca="false">IFERROR(INDEX(Aux!$K$6:$K$16,MATCH(5,Aux!$O$6:$O$16,0)),"")</f>
        <v/>
      </c>
    </row>
    <row r="29" customFormat="false" ht="30" hidden="false" customHeight="true" outlineLevel="0" collapsed="false">
      <c r="A29" s="15"/>
      <c r="B29" s="27" t="n">
        <f aca="false">IF(C29="","",6)</f>
        <v>6</v>
      </c>
      <c r="C29" s="28" t="str">
        <f aca="false">IFERROR(INDEX(Aux!$I$6:$I$16,MATCH(6,Aux!$M$6:$M$16,0)),"")</f>
        <v>[Estrutura Econômica e Fiscal] OP-06 – Instrumentos de fomento e financiamento (FCO, crédito rural, PSA, mercado de carbono)</v>
      </c>
      <c r="D29" s="29" t="n">
        <f aca="false">IFERROR(INDEX(Aux!$K$6:$K$16,MATCH(6,Aux!$M$6:$M$16,0)),"")</f>
        <v>3</v>
      </c>
      <c r="F29" s="30" t="str">
        <f aca="false">IF(G29="","",6)</f>
        <v/>
      </c>
      <c r="G29" s="31" t="str">
        <f aca="false">IFERROR(INDEX(Aux!$I$6:$I$16,MATCH(6,Aux!$O$6:$O$16,0)),"")</f>
        <v/>
      </c>
      <c r="H29" s="32" t="str">
        <f aca="false">IFERROR(INDEX(Aux!$K$6:$K$16,MATCH(6,Aux!$O$6:$O$16,0)),"")</f>
        <v/>
      </c>
    </row>
    <row r="30" customFormat="false" ht="30" hidden="false" customHeight="true" outlineLevel="0" collapsed="false">
      <c r="A30" s="15"/>
      <c r="B30" s="27" t="str">
        <f aca="false">IF(C30="","",7)</f>
        <v/>
      </c>
      <c r="C30" s="28" t="str">
        <f aca="false">IFERROR(INDEX(Aux!$I$6:$I$16,MATCH(7,Aux!$M$6:$M$16,0)),"")</f>
        <v/>
      </c>
      <c r="D30" s="29" t="str">
        <f aca="false">IFERROR(INDEX(Aux!$K$6:$K$16,MATCH(7,Aux!$M$6:$M$16,0)),"")</f>
        <v/>
      </c>
      <c r="F30" s="30" t="str">
        <f aca="false">IF(G30="","",7)</f>
        <v/>
      </c>
      <c r="G30" s="31" t="str">
        <f aca="false">IFERROR(INDEX(Aux!$I$6:$I$16,MATCH(7,Aux!$O$6:$O$16,0)),"")</f>
        <v/>
      </c>
      <c r="H30" s="32" t="str">
        <f aca="false">IFERROR(INDEX(Aux!$K$6:$K$16,MATCH(7,Aux!$O$6:$O$16,0)),"")</f>
        <v/>
      </c>
    </row>
    <row r="31" customFormat="false" ht="30" hidden="false" customHeight="true" outlineLevel="0" collapsed="false">
      <c r="A31" s="15"/>
      <c r="B31" s="27" t="str">
        <f aca="false">IF(C31="","",8)</f>
        <v/>
      </c>
      <c r="C31" s="28" t="str">
        <f aca="false">IFERROR(INDEX(Aux!$I$6:$I$16,MATCH(8,Aux!$M$6:$M$16,0)),"")</f>
        <v/>
      </c>
      <c r="D31" s="29" t="str">
        <f aca="false">IFERROR(INDEX(Aux!$K$6:$K$16,MATCH(8,Aux!$M$6:$M$16,0)),"")</f>
        <v/>
      </c>
      <c r="F31" s="30" t="str">
        <f aca="false">IF(G31="","",8)</f>
        <v/>
      </c>
      <c r="G31" s="31" t="str">
        <f aca="false">IFERROR(INDEX(Aux!$I$6:$I$16,MATCH(8,Aux!$O$6:$O$16,0)),"")</f>
        <v/>
      </c>
      <c r="H31" s="32" t="str">
        <f aca="false">IFERROR(INDEX(Aux!$K$6:$K$16,MATCH(8,Aux!$O$6:$O$16,0)),"")</f>
        <v/>
      </c>
    </row>
    <row r="32" customFormat="false" ht="30" hidden="false" customHeight="true" outlineLevel="0" collapsed="false">
      <c r="A32" s="15"/>
      <c r="B32" s="27" t="str">
        <f aca="false">IF(C32="","",9)</f>
        <v/>
      </c>
      <c r="C32" s="28" t="str">
        <f aca="false">IFERROR(INDEX(Aux!$I$6:$I$16,MATCH(9,Aux!$M$6:$M$16,0)),"")</f>
        <v/>
      </c>
      <c r="D32" s="29" t="str">
        <f aca="false">IFERROR(INDEX(Aux!$K$6:$K$16,MATCH(9,Aux!$M$6:$M$16,0)),"")</f>
        <v/>
      </c>
      <c r="F32" s="30" t="str">
        <f aca="false">IF(G32="","",9)</f>
        <v/>
      </c>
      <c r="G32" s="31" t="str">
        <f aca="false">IFERROR(INDEX(Aux!$I$6:$I$16,MATCH(9,Aux!$O$6:$O$16,0)),"")</f>
        <v/>
      </c>
      <c r="H32" s="32" t="str">
        <f aca="false">IFERROR(INDEX(Aux!$K$6:$K$16,MATCH(9,Aux!$O$6:$O$16,0)),"")</f>
        <v/>
      </c>
    </row>
    <row r="33" customFormat="false" ht="30" hidden="false" customHeight="true" outlineLevel="0" collapsed="false">
      <c r="A33" s="15"/>
      <c r="B33" s="27" t="str">
        <f aca="false">IF(C33="","",10)</f>
        <v/>
      </c>
      <c r="C33" s="28" t="str">
        <f aca="false">IFERROR(INDEX(Aux!$I$6:$I$16,MATCH(10,Aux!$M$6:$M$16,0)),"")</f>
        <v/>
      </c>
      <c r="D33" s="29" t="str">
        <f aca="false">IFERROR(INDEX(Aux!$K$6:$K$16,MATCH(10,Aux!$M$6:$M$16,0)),"")</f>
        <v/>
      </c>
      <c r="F33" s="30" t="str">
        <f aca="false">IF(G33="","",10)</f>
        <v/>
      </c>
      <c r="G33" s="31" t="str">
        <f aca="false">IFERROR(INDEX(Aux!$I$6:$I$16,MATCH(10,Aux!$O$6:$O$16,0)),"")</f>
        <v/>
      </c>
      <c r="H33" s="32" t="str">
        <f aca="false">IFERROR(INDEX(Aux!$K$6:$K$16,MATCH(10,Aux!$O$6:$O$16,0)),"")</f>
        <v/>
      </c>
    </row>
    <row r="34" customFormat="false" ht="30" hidden="false" customHeight="true" outlineLevel="0" collapsed="false">
      <c r="A34" s="15"/>
      <c r="B34" s="27" t="str">
        <f aca="false">IF(C34="","",11)</f>
        <v/>
      </c>
      <c r="C34" s="28" t="str">
        <f aca="false">IFERROR(INDEX(Aux!$I$6:$I$16,MATCH(11,Aux!$M$6:$M$16,0)),"")</f>
        <v/>
      </c>
      <c r="D34" s="29" t="str">
        <f aca="false">IFERROR(INDEX(Aux!$K$6:$K$16,MATCH(11,Aux!$M$6:$M$16,0)),"")</f>
        <v/>
      </c>
      <c r="F34" s="30" t="str">
        <f aca="false">IF(G34="","",11)</f>
        <v/>
      </c>
      <c r="G34" s="31" t="str">
        <f aca="false">IFERROR(INDEX(Aux!$I$6:$I$16,MATCH(11,Aux!$O$6:$O$16,0)),"")</f>
        <v/>
      </c>
      <c r="H34" s="32" t="str">
        <f aca="false">IFERROR(INDEX(Aux!$K$6:$K$16,MATCH(11,Aux!$O$6:$O$16,0)),"")</f>
        <v/>
      </c>
    </row>
    <row r="35" customFormat="false" ht="30" hidden="false" customHeight="true" outlineLevel="0" collapsed="false">
      <c r="A35" s="15"/>
      <c r="B35" s="27" t="str">
        <f aca="false">IF(C35="","",12)</f>
        <v/>
      </c>
      <c r="C35" s="28" t="str">
        <f aca="false">IFERROR(INDEX(Aux!$I$6:$I$16,MATCH(12,Aux!$M$6:$M$16,0)),"")</f>
        <v/>
      </c>
      <c r="D35" s="29" t="str">
        <f aca="false">IFERROR(INDEX(Aux!$K$6:$K$16,MATCH(12,Aux!$M$6:$M$16,0)),"")</f>
        <v/>
      </c>
      <c r="F35" s="30" t="str">
        <f aca="false">IF(G35="","",12)</f>
        <v/>
      </c>
      <c r="G35" s="31" t="str">
        <f aca="false">IFERROR(INDEX(Aux!$I$6:$I$16,MATCH(12,Aux!$O$6:$O$16,0)),"")</f>
        <v/>
      </c>
      <c r="H35" s="32" t="str">
        <f aca="false">IFERROR(INDEX(Aux!$K$6:$K$16,MATCH(12,Aux!$O$6:$O$16,0)),"")</f>
        <v/>
      </c>
    </row>
    <row r="36" customFormat="false" ht="15" hidden="false" customHeight="true" outlineLevel="0" collapsed="false">
      <c r="C36" s="22" t="str">
        <f aca="false">IF(SUM(Aux!$L$6:$L$16)&gt;12,"+ "&amp;(SUM(Aux!$L$6:$L$16)-12)&amp;" item(ns) não exibido(s) — ver abas de dados","")</f>
        <v/>
      </c>
      <c r="G36" s="22" t="str">
        <f aca="false">IF(SUM(Aux!$N$6:$N$16)&gt;12,"+ "&amp;(SUM(Aux!$N$6:$N$16)-12)&amp;" item(ns) não exibido(s) — ver abas de dados","")</f>
        <v/>
      </c>
    </row>
    <row r="38" customFormat="false" ht="15" hidden="false" customHeight="true" outlineLevel="0" collapsed="false">
      <c r="B38" s="33" t="s">
        <v>35</v>
      </c>
    </row>
  </sheetData>
  <mergeCells count="9">
    <mergeCell ref="C3:D3"/>
    <mergeCell ref="B5:D5"/>
    <mergeCell ref="F5:H5"/>
    <mergeCell ref="B6:D6"/>
    <mergeCell ref="F6:H6"/>
    <mergeCell ref="A8:A19"/>
    <mergeCell ref="B22:D22"/>
    <mergeCell ref="F22:H22"/>
    <mergeCell ref="A24:A35"/>
  </mergeCells>
  <dataValidations count="1">
    <dataValidation allowBlank="false" errorStyle="stop" operator="between" showDropDown="false" showErrorMessage="false" showInputMessage="false" sqref="C3" type="list">
      <formula1>Parâmetros!$A$9:$A$21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50"/>
    <col collapsed="false" customWidth="true" hidden="false" outlineLevel="0" max="3" min="3" style="1" width="14"/>
    <col collapsed="false" customWidth="true" hidden="false" outlineLevel="0" max="5" min="4" style="1" width="12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11"/>
    <col collapsed="false" customWidth="true" hidden="false" outlineLevel="0" max="9" min="9" style="1" width="14"/>
  </cols>
  <sheetData>
    <row r="1" customFormat="false" ht="15.75" hidden="false" customHeight="true" outlineLevel="0" collapsed="false">
      <c r="A1" s="2" t="s">
        <v>36</v>
      </c>
    </row>
    <row r="3" customFormat="false" ht="23.25" hidden="false" customHeight="true" outlineLevel="0" collapsed="false">
      <c r="A3" s="34" t="s">
        <v>37</v>
      </c>
      <c r="B3" s="34" t="s">
        <v>38</v>
      </c>
      <c r="C3" s="34" t="s">
        <v>39</v>
      </c>
      <c r="D3" s="34" t="s">
        <v>40</v>
      </c>
      <c r="E3" s="34" t="s">
        <v>41</v>
      </c>
      <c r="F3" s="34" t="s">
        <v>42</v>
      </c>
      <c r="G3" s="34" t="s">
        <v>43</v>
      </c>
      <c r="H3" s="34" t="s">
        <v>44</v>
      </c>
      <c r="I3" s="34" t="s">
        <v>45</v>
      </c>
    </row>
    <row r="4" customFormat="false" ht="15" hidden="false" customHeight="true" outlineLevel="0" collapsed="false">
      <c r="A4" s="35" t="s">
        <v>46</v>
      </c>
      <c r="B4" s="36" t="n">
        <f aca="false">COUNTIF('Indicadores (F-W)'!O$6:O$21,"Força")</f>
        <v>3</v>
      </c>
      <c r="C4" s="36" t="n">
        <f aca="false">COUNTIF('Indicadores (F-W)'!O$6:O$21,"Fraqueza")</f>
        <v>10</v>
      </c>
      <c r="D4" s="36" t="n">
        <f aca="false">COUNTIF('Indicadores (F-W)'!O$6:O$21,"Neutro")</f>
        <v>1</v>
      </c>
      <c r="E4" s="36" t="n">
        <f aca="false">COUNTBLANK('Indicadores (F-W)'!N$6:N$21)</f>
        <v>2</v>
      </c>
      <c r="F4" s="36" t="n">
        <f aca="false">B4-C4</f>
        <v>-7</v>
      </c>
      <c r="G4" s="36" t="n">
        <f aca="false">COUNTIFS('Fatores Externos (O-A)'!$B$6:$B$16,"Oportunidade",'Fatores Externos (O-A)'!F$6:F$16,"&gt;="&amp;Parâmetros!$B$5)</f>
        <v>3</v>
      </c>
      <c r="H4" s="36" t="n">
        <f aca="false">COUNTIFS('Fatores Externos (O-A)'!$B$6:$B$16,"Ameaça",'Fatores Externos (O-A)'!F$6:F$16,"&gt;="&amp;Parâmetros!$B$5)</f>
        <v>4</v>
      </c>
      <c r="I4" s="36" t="n">
        <f aca="false">G4-H4</f>
        <v>-1</v>
      </c>
    </row>
    <row r="5" customFormat="false" ht="15" hidden="false" customHeight="true" outlineLevel="0" collapsed="false">
      <c r="A5" s="35" t="s">
        <v>26</v>
      </c>
      <c r="B5" s="36" t="n">
        <f aca="false">COUNTIF('Indicadores (F-W)'!Q$6:Q$21,"Força")</f>
        <v>3</v>
      </c>
      <c r="C5" s="36" t="n">
        <f aca="false">COUNTIF('Indicadores (F-W)'!Q$6:Q$21,"Fraqueza")</f>
        <v>8</v>
      </c>
      <c r="D5" s="36" t="n">
        <f aca="false">COUNTIF('Indicadores (F-W)'!Q$6:Q$21,"Neutro")</f>
        <v>3</v>
      </c>
      <c r="E5" s="36" t="n">
        <f aca="false">COUNTBLANK('Indicadores (F-W)'!P$6:P$21)</f>
        <v>2</v>
      </c>
      <c r="F5" s="36" t="n">
        <f aca="false">B5-C5</f>
        <v>-5</v>
      </c>
      <c r="G5" s="36" t="n">
        <f aca="false">COUNTIFS('Fatores Externos (O-A)'!$B$6:$B$16,"Oportunidade",'Fatores Externos (O-A)'!G$6:G$16,"&gt;="&amp;Parâmetros!$B$5)</f>
        <v>6</v>
      </c>
      <c r="H5" s="36" t="n">
        <f aca="false">COUNTIFS('Fatores Externos (O-A)'!$B$6:$B$16,"Ameaça",'Fatores Externos (O-A)'!G$6:G$16,"&gt;="&amp;Parâmetros!$B$5)</f>
        <v>4</v>
      </c>
      <c r="I5" s="36" t="n">
        <f aca="false">G5-H5</f>
        <v>2</v>
      </c>
    </row>
    <row r="6" customFormat="false" ht="15" hidden="false" customHeight="true" outlineLevel="0" collapsed="false">
      <c r="A6" s="35" t="s">
        <v>47</v>
      </c>
      <c r="B6" s="36" t="n">
        <f aca="false">COUNTIF('Indicadores (F-W)'!S$6:S$21,"Força")</f>
        <v>3</v>
      </c>
      <c r="C6" s="36" t="n">
        <f aca="false">COUNTIF('Indicadores (F-W)'!S$6:S$21,"Fraqueza")</f>
        <v>10</v>
      </c>
      <c r="D6" s="36" t="n">
        <f aca="false">COUNTIF('Indicadores (F-W)'!S$6:S$21,"Neutro")</f>
        <v>1</v>
      </c>
      <c r="E6" s="36" t="n">
        <f aca="false">COUNTBLANK('Indicadores (F-W)'!R$6:R$21)</f>
        <v>2</v>
      </c>
      <c r="F6" s="36" t="n">
        <f aca="false">B6-C6</f>
        <v>-7</v>
      </c>
      <c r="G6" s="36" t="n">
        <f aca="false">COUNTIFS('Fatores Externos (O-A)'!$B$6:$B$16,"Oportunidade",'Fatores Externos (O-A)'!H$6:H$16,"&gt;="&amp;Parâmetros!$B$5)</f>
        <v>2</v>
      </c>
      <c r="H6" s="36" t="n">
        <f aca="false">COUNTIFS('Fatores Externos (O-A)'!$B$6:$B$16,"Ameaça",'Fatores Externos (O-A)'!H$6:H$16,"&gt;="&amp;Parâmetros!$B$5)</f>
        <v>3</v>
      </c>
      <c r="I6" s="36" t="n">
        <f aca="false">G6-H6</f>
        <v>-1</v>
      </c>
    </row>
    <row r="7" customFormat="false" ht="15" hidden="false" customHeight="true" outlineLevel="0" collapsed="false">
      <c r="A7" s="35" t="s">
        <v>48</v>
      </c>
      <c r="B7" s="36" t="n">
        <f aca="false">COUNTIF('Indicadores (F-W)'!U$6:U$21,"Força")</f>
        <v>3</v>
      </c>
      <c r="C7" s="36" t="n">
        <f aca="false">COUNTIF('Indicadores (F-W)'!U$6:U$21,"Fraqueza")</f>
        <v>10</v>
      </c>
      <c r="D7" s="36" t="n">
        <f aca="false">COUNTIF('Indicadores (F-W)'!U$6:U$21,"Neutro")</f>
        <v>1</v>
      </c>
      <c r="E7" s="36" t="n">
        <f aca="false">COUNTBLANK('Indicadores (F-W)'!T$6:T$21)</f>
        <v>2</v>
      </c>
      <c r="F7" s="36" t="n">
        <f aca="false">B7-C7</f>
        <v>-7</v>
      </c>
      <c r="G7" s="36" t="n">
        <f aca="false">COUNTIFS('Fatores Externos (O-A)'!$B$6:$B$16,"Oportunidade",'Fatores Externos (O-A)'!I$6:I$16,"&gt;="&amp;Parâmetros!$B$5)</f>
        <v>2</v>
      </c>
      <c r="H7" s="36" t="n">
        <f aca="false">COUNTIFS('Fatores Externos (O-A)'!$B$6:$B$16,"Ameaça",'Fatores Externos (O-A)'!I$6:I$16,"&gt;="&amp;Parâmetros!$B$5)</f>
        <v>3</v>
      </c>
      <c r="I7" s="36" t="n">
        <f aca="false">G7-H7</f>
        <v>-1</v>
      </c>
    </row>
    <row r="8" customFormat="false" ht="15" hidden="false" customHeight="true" outlineLevel="0" collapsed="false">
      <c r="A8" s="35" t="s">
        <v>49</v>
      </c>
      <c r="B8" s="36" t="n">
        <f aca="false">COUNTIF('Indicadores (F-W)'!W$6:W$21,"Força")</f>
        <v>7</v>
      </c>
      <c r="C8" s="36" t="n">
        <f aca="false">COUNTIF('Indicadores (F-W)'!W$6:W$21,"Fraqueza")</f>
        <v>6</v>
      </c>
      <c r="D8" s="36" t="n">
        <f aca="false">COUNTIF('Indicadores (F-W)'!W$6:W$21,"Neutro")</f>
        <v>1</v>
      </c>
      <c r="E8" s="36" t="n">
        <f aca="false">COUNTBLANK('Indicadores (F-W)'!V$6:V$21)</f>
        <v>2</v>
      </c>
      <c r="F8" s="36" t="n">
        <f aca="false">B8-C8</f>
        <v>1</v>
      </c>
      <c r="G8" s="36" t="n">
        <f aca="false">COUNTIFS('Fatores Externos (O-A)'!$B$6:$B$16,"Oportunidade",'Fatores Externos (O-A)'!J$6:J$16,"&gt;="&amp;Parâmetros!$B$5)</f>
        <v>5</v>
      </c>
      <c r="H8" s="36" t="n">
        <f aca="false">COUNTIFS('Fatores Externos (O-A)'!$B$6:$B$16,"Ameaça",'Fatores Externos (O-A)'!J$6:J$16,"&gt;="&amp;Parâmetros!$B$5)</f>
        <v>5</v>
      </c>
      <c r="I8" s="36" t="n">
        <f aca="false">G8-H8</f>
        <v>0</v>
      </c>
    </row>
    <row r="9" customFormat="false" ht="15" hidden="false" customHeight="true" outlineLevel="0" collapsed="false">
      <c r="A9" s="35" t="s">
        <v>50</v>
      </c>
      <c r="B9" s="36" t="n">
        <f aca="false">COUNTIF('Indicadores (F-W)'!Y$6:Y$21,"Força")</f>
        <v>3</v>
      </c>
      <c r="C9" s="36" t="n">
        <f aca="false">COUNTIF('Indicadores (F-W)'!Y$6:Y$21,"Fraqueza")</f>
        <v>7</v>
      </c>
      <c r="D9" s="36" t="n">
        <f aca="false">COUNTIF('Indicadores (F-W)'!Y$6:Y$21,"Neutro")</f>
        <v>4</v>
      </c>
      <c r="E9" s="36" t="n">
        <f aca="false">COUNTBLANK('Indicadores (F-W)'!X$6:X$21)</f>
        <v>2</v>
      </c>
      <c r="F9" s="36" t="n">
        <f aca="false">B9-C9</f>
        <v>-4</v>
      </c>
      <c r="G9" s="36" t="n">
        <f aca="false">COUNTIFS('Fatores Externos (O-A)'!$B$6:$B$16,"Oportunidade",'Fatores Externos (O-A)'!K$6:K$16,"&gt;="&amp;Parâmetros!$B$5)</f>
        <v>5</v>
      </c>
      <c r="H9" s="36" t="n">
        <f aca="false">COUNTIFS('Fatores Externos (O-A)'!$B$6:$B$16,"Ameaça",'Fatores Externos (O-A)'!K$6:K$16,"&gt;="&amp;Parâmetros!$B$5)</f>
        <v>4</v>
      </c>
      <c r="I9" s="36" t="n">
        <f aca="false">G9-H9</f>
        <v>1</v>
      </c>
    </row>
    <row r="10" customFormat="false" ht="15" hidden="false" customHeight="true" outlineLevel="0" collapsed="false">
      <c r="A10" s="35" t="s">
        <v>51</v>
      </c>
      <c r="B10" s="36" t="n">
        <f aca="false">COUNTIF('Indicadores (F-W)'!AA$6:AA$21,"Força")</f>
        <v>2</v>
      </c>
      <c r="C10" s="36" t="n">
        <f aca="false">COUNTIF('Indicadores (F-W)'!AA$6:AA$21,"Fraqueza")</f>
        <v>9</v>
      </c>
      <c r="D10" s="36" t="n">
        <f aca="false">COUNTIF('Indicadores (F-W)'!AA$6:AA$21,"Neutro")</f>
        <v>3</v>
      </c>
      <c r="E10" s="36" t="n">
        <f aca="false">COUNTBLANK('Indicadores (F-W)'!Z$6:Z$21)</f>
        <v>2</v>
      </c>
      <c r="F10" s="36" t="n">
        <f aca="false">B10-C10</f>
        <v>-7</v>
      </c>
      <c r="G10" s="36" t="n">
        <f aca="false">COUNTIFS('Fatores Externos (O-A)'!$B$6:$B$16,"Oportunidade",'Fatores Externos (O-A)'!L$6:L$16,"&gt;="&amp;Parâmetros!$B$5)</f>
        <v>3</v>
      </c>
      <c r="H10" s="36" t="n">
        <f aca="false">COUNTIFS('Fatores Externos (O-A)'!$B$6:$B$16,"Ameaça",'Fatores Externos (O-A)'!L$6:L$16,"&gt;="&amp;Parâmetros!$B$5)</f>
        <v>4</v>
      </c>
      <c r="I10" s="36" t="n">
        <f aca="false">G10-H10</f>
        <v>-1</v>
      </c>
    </row>
    <row r="11" customFormat="false" ht="15" hidden="false" customHeight="true" outlineLevel="0" collapsed="false">
      <c r="A11" s="35" t="s">
        <v>52</v>
      </c>
      <c r="B11" s="36" t="n">
        <f aca="false">COUNTIF('Indicadores (F-W)'!AC$6:AC$21,"Força")</f>
        <v>2</v>
      </c>
      <c r="C11" s="36" t="n">
        <f aca="false">COUNTIF('Indicadores (F-W)'!AC$6:AC$21,"Fraqueza")</f>
        <v>8</v>
      </c>
      <c r="D11" s="36" t="n">
        <f aca="false">COUNTIF('Indicadores (F-W)'!AC$6:AC$21,"Neutro")</f>
        <v>4</v>
      </c>
      <c r="E11" s="36" t="n">
        <f aca="false">COUNTBLANK('Indicadores (F-W)'!AB$6:AB$21)</f>
        <v>2</v>
      </c>
      <c r="F11" s="36" t="n">
        <f aca="false">B11-C11</f>
        <v>-6</v>
      </c>
      <c r="G11" s="36" t="n">
        <f aca="false">COUNTIFS('Fatores Externos (O-A)'!$B$6:$B$16,"Oportunidade",'Fatores Externos (O-A)'!M$6:M$16,"&gt;="&amp;Parâmetros!$B$5)</f>
        <v>4</v>
      </c>
      <c r="H11" s="36" t="n">
        <f aca="false">COUNTIFS('Fatores Externos (O-A)'!$B$6:$B$16,"Ameaça",'Fatores Externos (O-A)'!M$6:M$16,"&gt;="&amp;Parâmetros!$B$5)</f>
        <v>1</v>
      </c>
      <c r="I11" s="36" t="n">
        <f aca="false">G11-H11</f>
        <v>3</v>
      </c>
    </row>
    <row r="12" customFormat="false" ht="23.25" hidden="false" customHeight="true" outlineLevel="0" collapsed="false">
      <c r="A12" s="35" t="s">
        <v>53</v>
      </c>
      <c r="B12" s="36" t="n">
        <f aca="false">COUNTIF('Indicadores (F-W)'!AE$6:AE$21,"Força")</f>
        <v>4</v>
      </c>
      <c r="C12" s="36" t="n">
        <f aca="false">COUNTIF('Indicadores (F-W)'!AE$6:AE$21,"Fraqueza")</f>
        <v>8</v>
      </c>
      <c r="D12" s="36" t="n">
        <f aca="false">COUNTIF('Indicadores (F-W)'!AE$6:AE$21,"Neutro")</f>
        <v>2</v>
      </c>
      <c r="E12" s="36" t="n">
        <f aca="false">COUNTBLANK('Indicadores (F-W)'!AD$6:AD$21)</f>
        <v>2</v>
      </c>
      <c r="F12" s="36" t="n">
        <f aca="false">B12-C12</f>
        <v>-4</v>
      </c>
      <c r="G12" s="36" t="n">
        <f aca="false">COUNTIFS('Fatores Externos (O-A)'!$B$6:$B$16,"Oportunidade",'Fatores Externos (O-A)'!N$6:N$16,"&gt;="&amp;Parâmetros!$B$5)</f>
        <v>4</v>
      </c>
      <c r="H12" s="36" t="n">
        <f aca="false">COUNTIFS('Fatores Externos (O-A)'!$B$6:$B$16,"Ameaça",'Fatores Externos (O-A)'!N$6:N$16,"&gt;="&amp;Parâmetros!$B$5)</f>
        <v>3</v>
      </c>
      <c r="I12" s="36" t="n">
        <f aca="false">G12-H12</f>
        <v>1</v>
      </c>
    </row>
    <row r="13" customFormat="false" ht="15" hidden="false" customHeight="true" outlineLevel="0" collapsed="false">
      <c r="A13" s="35" t="s">
        <v>54</v>
      </c>
      <c r="B13" s="36" t="n">
        <f aca="false">COUNTIF('Indicadores (F-W)'!AG$6:AG$21,"Força")</f>
        <v>1</v>
      </c>
      <c r="C13" s="36" t="n">
        <f aca="false">COUNTIF('Indicadores (F-W)'!AG$6:AG$21,"Fraqueza")</f>
        <v>11</v>
      </c>
      <c r="D13" s="36" t="n">
        <f aca="false">COUNTIF('Indicadores (F-W)'!AG$6:AG$21,"Neutro")</f>
        <v>2</v>
      </c>
      <c r="E13" s="36" t="n">
        <f aca="false">COUNTBLANK('Indicadores (F-W)'!AF$6:AF$21)</f>
        <v>2</v>
      </c>
      <c r="F13" s="36" t="n">
        <f aca="false">B13-C13</f>
        <v>-10</v>
      </c>
      <c r="G13" s="36" t="n">
        <f aca="false">COUNTIFS('Fatores Externos (O-A)'!$B$6:$B$16,"Oportunidade",'Fatores Externos (O-A)'!O$6:O$16,"&gt;="&amp;Parâmetros!$B$5)</f>
        <v>4</v>
      </c>
      <c r="H13" s="36" t="n">
        <f aca="false">COUNTIFS('Fatores Externos (O-A)'!$B$6:$B$16,"Ameaça",'Fatores Externos (O-A)'!O$6:O$16,"&gt;="&amp;Parâmetros!$B$5)</f>
        <v>4</v>
      </c>
      <c r="I13" s="36" t="n">
        <f aca="false">G13-H13</f>
        <v>0</v>
      </c>
    </row>
    <row r="14" customFormat="false" ht="15" hidden="false" customHeight="true" outlineLevel="0" collapsed="false">
      <c r="A14" s="35" t="s">
        <v>55</v>
      </c>
      <c r="B14" s="36" t="n">
        <f aca="false">COUNTIF('Indicadores (F-W)'!AI$6:AI$21,"Força")</f>
        <v>3</v>
      </c>
      <c r="C14" s="36" t="n">
        <f aca="false">COUNTIF('Indicadores (F-W)'!AI$6:AI$21,"Fraqueza")</f>
        <v>9</v>
      </c>
      <c r="D14" s="36" t="n">
        <f aca="false">COUNTIF('Indicadores (F-W)'!AI$6:AI$21,"Neutro")</f>
        <v>2</v>
      </c>
      <c r="E14" s="36" t="n">
        <f aca="false">COUNTBLANK('Indicadores (F-W)'!AH$6:AH$21)</f>
        <v>2</v>
      </c>
      <c r="F14" s="36" t="n">
        <f aca="false">B14-C14</f>
        <v>-6</v>
      </c>
      <c r="G14" s="36" t="n">
        <f aca="false">COUNTIFS('Fatores Externos (O-A)'!$B$6:$B$16,"Oportunidade",'Fatores Externos (O-A)'!P$6:P$16,"&gt;="&amp;Parâmetros!$B$5)</f>
        <v>3</v>
      </c>
      <c r="H14" s="36" t="n">
        <f aca="false">COUNTIFS('Fatores Externos (O-A)'!$B$6:$B$16,"Ameaça",'Fatores Externos (O-A)'!P$6:P$16,"&gt;="&amp;Parâmetros!$B$5)</f>
        <v>4</v>
      </c>
      <c r="I14" s="36" t="n">
        <f aca="false">G14-H14</f>
        <v>-1</v>
      </c>
    </row>
    <row r="15" customFormat="false" ht="15" hidden="false" customHeight="true" outlineLevel="0" collapsed="false">
      <c r="A15" s="35" t="s">
        <v>56</v>
      </c>
      <c r="B15" s="36" t="n">
        <f aca="false">COUNTIF('Indicadores (F-W)'!AK$6:AK$21,"Força")</f>
        <v>4</v>
      </c>
      <c r="C15" s="36" t="n">
        <f aca="false">COUNTIF('Indicadores (F-W)'!AK$6:AK$21,"Fraqueza")</f>
        <v>3</v>
      </c>
      <c r="D15" s="36" t="n">
        <f aca="false">COUNTIF('Indicadores (F-W)'!AK$6:AK$21,"Neutro")</f>
        <v>7</v>
      </c>
      <c r="E15" s="36" t="n">
        <f aca="false">COUNTBLANK('Indicadores (F-W)'!AJ$6:AJ$21)</f>
        <v>2</v>
      </c>
      <c r="F15" s="36" t="n">
        <f aca="false">B15-C15</f>
        <v>1</v>
      </c>
      <c r="G15" s="36" t="n">
        <f aca="false">COUNTIFS('Fatores Externos (O-A)'!$B$6:$B$16,"Oportunidade",'Fatores Externos (O-A)'!Q$6:Q$16,"&gt;="&amp;Parâmetros!$B$5)</f>
        <v>5</v>
      </c>
      <c r="H15" s="36" t="n">
        <f aca="false">COUNTIFS('Fatores Externos (O-A)'!$B$6:$B$16,"Ameaça",'Fatores Externos (O-A)'!Q$6:Q$16,"&gt;="&amp;Parâmetros!$B$5)</f>
        <v>3</v>
      </c>
      <c r="I15" s="36" t="n">
        <f aca="false">G15-H15</f>
        <v>2</v>
      </c>
    </row>
    <row r="16" customFormat="false" ht="15" hidden="false" customHeight="true" outlineLevel="0" collapsed="false">
      <c r="A16" s="35" t="s">
        <v>57</v>
      </c>
      <c r="B16" s="36" t="n">
        <f aca="false">COUNTIF('Indicadores (F-W)'!AM$6:AM$21,"Força")</f>
        <v>2</v>
      </c>
      <c r="C16" s="36" t="n">
        <f aca="false">COUNTIF('Indicadores (F-W)'!AM$6:AM$21,"Fraqueza")</f>
        <v>11</v>
      </c>
      <c r="D16" s="36" t="n">
        <f aca="false">COUNTIF('Indicadores (F-W)'!AM$6:AM$21,"Neutro")</f>
        <v>1</v>
      </c>
      <c r="E16" s="36" t="n">
        <f aca="false">COUNTBLANK('Indicadores (F-W)'!AL$6:AL$21)</f>
        <v>2</v>
      </c>
      <c r="F16" s="36" t="n">
        <f aca="false">B16-C16</f>
        <v>-9</v>
      </c>
      <c r="G16" s="36" t="n">
        <f aca="false">COUNTIFS('Fatores Externos (O-A)'!$B$6:$B$16,"Oportunidade",'Fatores Externos (O-A)'!R$6:R$16,"&gt;="&amp;Parâmetros!$B$5)</f>
        <v>5</v>
      </c>
      <c r="H16" s="36" t="n">
        <f aca="false">COUNTIFS('Fatores Externos (O-A)'!$B$6:$B$16,"Ameaça",'Fatores Externos (O-A)'!R$6:R$16,"&gt;="&amp;Parâmetros!$B$5)</f>
        <v>5</v>
      </c>
      <c r="I16" s="36" t="n">
        <f aca="false">G16-H16</f>
        <v>0</v>
      </c>
    </row>
    <row r="19" customFormat="false" ht="15" hidden="false" customHeight="true" outlineLevel="0" collapsed="false">
      <c r="A19" s="37" t="s">
        <v>58</v>
      </c>
    </row>
    <row r="20" customFormat="false" ht="15" hidden="false" customHeight="true" outlineLevel="0" collapsed="false">
      <c r="A20" s="34" t="s">
        <v>59</v>
      </c>
      <c r="B20" s="34" t="s">
        <v>60</v>
      </c>
      <c r="C20" s="34" t="s">
        <v>61</v>
      </c>
      <c r="D20" s="34" t="s">
        <v>62</v>
      </c>
      <c r="E20" s="34" t="s">
        <v>63</v>
      </c>
      <c r="F20" s="34" t="s">
        <v>41</v>
      </c>
      <c r="G20" s="34" t="s">
        <v>64</v>
      </c>
    </row>
    <row r="21" customFormat="false" ht="15" hidden="false" customHeight="true" outlineLevel="0" collapsed="false">
      <c r="A21" s="36" t="str">
        <f aca="false">'Indicadores (F-W)'!A6</f>
        <v>AGR-01</v>
      </c>
      <c r="B21" s="38" t="str">
        <f aca="false">'Indicadores (F-W)'!C6</f>
        <v>Quociente locacional do VAB agropecuário (base MT)</v>
      </c>
      <c r="C21" s="36" t="n">
        <f aca="false">COUNTIF('Indicadores (F-W)'!$N6:$AM6,"Força")</f>
        <v>6</v>
      </c>
      <c r="D21" s="36" t="n">
        <f aca="false">COUNTIF('Indicadores (F-W)'!$N6:$AM6,"Neutro")</f>
        <v>2</v>
      </c>
      <c r="E21" s="36" t="n">
        <f aca="false">COUNTIF('Indicadores (F-W)'!$N6:$AM6,"Fraqueza")</f>
        <v>5</v>
      </c>
      <c r="F21" s="36" t="n">
        <f aca="false">13-C21-D21-E21</f>
        <v>0</v>
      </c>
      <c r="G21" s="36" t="str">
        <f aca="false">IF(C21+D21+E21=0,"sem dados",IF(C21&gt;=13/2,"Força regional",IF(E21&gt;=13/2,"Fraqueza regional","Heterogêneo")))</f>
        <v>Heterogêneo</v>
      </c>
    </row>
    <row r="22" customFormat="false" ht="15" hidden="false" customHeight="true" outlineLevel="0" collapsed="false">
      <c r="A22" s="36" t="str">
        <f aca="false">'Indicadores (F-W)'!A7</f>
        <v>AGR-02</v>
      </c>
      <c r="B22" s="38" t="str">
        <f aca="false">'Indicadores (F-W)'!C7</f>
        <v>Valor da produção das lavouras por área colhida</v>
      </c>
      <c r="C22" s="36" t="n">
        <f aca="false">COUNTIF('Indicadores (F-W)'!$N7:$AM7,"Força")</f>
        <v>6</v>
      </c>
      <c r="D22" s="36" t="n">
        <f aca="false">COUNTIF('Indicadores (F-W)'!$N7:$AM7,"Neutro")</f>
        <v>6</v>
      </c>
      <c r="E22" s="36" t="n">
        <f aca="false">COUNTIF('Indicadores (F-W)'!$N7:$AM7,"Fraqueza")</f>
        <v>1</v>
      </c>
      <c r="F22" s="36" t="n">
        <f aca="false">13-C22-D22-E22</f>
        <v>0</v>
      </c>
      <c r="G22" s="36" t="str">
        <f aca="false">IF(C22+D22+E22=0,"sem dados",IF(C22&gt;=13/2,"Força regional",IF(E22&gt;=13/2,"Fraqueza regional","Heterogêneo")))</f>
        <v>Heterogêneo</v>
      </c>
    </row>
    <row r="23" customFormat="false" ht="15" hidden="false" customHeight="true" outlineLevel="0" collapsed="false">
      <c r="A23" s="36" t="str">
        <f aca="false">'Indicadores (F-W)'!A8</f>
        <v>AGR-03</v>
      </c>
      <c r="B23" s="38" t="str">
        <f aca="false">'Indicadores (F-W)'!C8</f>
        <v>Variação do efetivo bovino em 5 anos</v>
      </c>
      <c r="C23" s="36" t="n">
        <f aca="false">COUNTIF('Indicadores (F-W)'!$N8:$AM8,"Força")</f>
        <v>6</v>
      </c>
      <c r="D23" s="36" t="n">
        <f aca="false">COUNTIF('Indicadores (F-W)'!$N8:$AM8,"Neutro")</f>
        <v>4</v>
      </c>
      <c r="E23" s="36" t="n">
        <f aca="false">COUNTIF('Indicadores (F-W)'!$N8:$AM8,"Fraqueza")</f>
        <v>3</v>
      </c>
      <c r="F23" s="36" t="n">
        <f aca="false">13-C23-D23-E23</f>
        <v>0</v>
      </c>
      <c r="G23" s="36" t="str">
        <f aca="false">IF(C23+D23+E23=0,"sem dados",IF(C23&gt;=13/2,"Força regional",IF(E23&gt;=13/2,"Fraqueza regional","Heterogêneo")))</f>
        <v>Heterogêneo</v>
      </c>
    </row>
    <row r="24" customFormat="false" ht="23.25" hidden="false" customHeight="true" outlineLevel="0" collapsed="false">
      <c r="A24" s="36" t="str">
        <f aca="false">'Indicadores (F-W)'!A9</f>
        <v>AGR-04</v>
      </c>
      <c r="B24" s="38" t="str">
        <f aca="false">'Indicadores (F-W)'!C9</f>
        <v>Estabelecimentos agropecuários que receberam assistência técnica</v>
      </c>
      <c r="C24" s="36" t="n">
        <f aca="false">COUNTIF('Indicadores (F-W)'!$N9:$AM9,"Força")</f>
        <v>0</v>
      </c>
      <c r="D24" s="36" t="n">
        <f aca="false">COUNTIF('Indicadores (F-W)'!$N9:$AM9,"Neutro")</f>
        <v>0</v>
      </c>
      <c r="E24" s="36" t="n">
        <f aca="false">COUNTIF('Indicadores (F-W)'!$N9:$AM9,"Fraqueza")</f>
        <v>0</v>
      </c>
      <c r="F24" s="36" t="n">
        <f aca="false">13-C24-D24-E24</f>
        <v>13</v>
      </c>
      <c r="G24" s="36" t="str">
        <f aca="false">IF(C24+D24+E24=0,"sem dados",IF(C24&gt;=13/2,"Força regional",IF(E24&gt;=13/2,"Fraqueza regional","Heterogêneo")))</f>
        <v>sem dados</v>
      </c>
    </row>
    <row r="25" customFormat="false" ht="23.25" hidden="false" customHeight="true" outlineLevel="0" collapsed="false">
      <c r="A25" s="36" t="str">
        <f aca="false">'Indicadores (F-W)'!A10</f>
        <v>AGR-05</v>
      </c>
      <c r="B25" s="38" t="str">
        <f aca="false">'Indicadores (F-W)'!C10</f>
        <v>Diversificação agrícola (1 − HHI do valor da produção das lavouras)</v>
      </c>
      <c r="C25" s="36" t="n">
        <f aca="false">COUNTIF('Indicadores (F-W)'!$N10:$AM10,"Força")</f>
        <v>0</v>
      </c>
      <c r="D25" s="36" t="n">
        <f aca="false">COUNTIF('Indicadores (F-W)'!$N10:$AM10,"Neutro")</f>
        <v>0</v>
      </c>
      <c r="E25" s="36" t="n">
        <f aca="false">COUNTIF('Indicadores (F-W)'!$N10:$AM10,"Fraqueza")</f>
        <v>0</v>
      </c>
      <c r="F25" s="36" t="n">
        <f aca="false">13-C25-D25-E25</f>
        <v>13</v>
      </c>
      <c r="G25" s="36" t="str">
        <f aca="false">IF(C25+D25+E25=0,"sem dados",IF(C25&gt;=13/2,"Força regional",IF(E25&gt;=13/2,"Fraqueza regional","Heterogêneo")))</f>
        <v>sem dados</v>
      </c>
    </row>
    <row r="26" customFormat="false" ht="15" hidden="false" customHeight="true" outlineLevel="0" collapsed="false">
      <c r="A26" s="36" t="str">
        <f aca="false">'Indicadores (F-W)'!A11</f>
        <v>IND-01</v>
      </c>
      <c r="B26" s="38" t="str">
        <f aca="false">'Indicadores (F-W)'!C11</f>
        <v>Quociente locacional do VAB industrial (base MT)</v>
      </c>
      <c r="C26" s="36" t="n">
        <f aca="false">COUNTIF('Indicadores (F-W)'!$N11:$AM11,"Força")</f>
        <v>4</v>
      </c>
      <c r="D26" s="36" t="n">
        <f aca="false">COUNTIF('Indicadores (F-W)'!$N11:$AM11,"Neutro")</f>
        <v>3</v>
      </c>
      <c r="E26" s="36" t="n">
        <f aca="false">COUNTIF('Indicadores (F-W)'!$N11:$AM11,"Fraqueza")</f>
        <v>6</v>
      </c>
      <c r="F26" s="36" t="n">
        <f aca="false">13-C26-D26-E26</f>
        <v>0</v>
      </c>
      <c r="G26" s="36" t="str">
        <f aca="false">IF(C26+D26+E26=0,"sem dados",IF(C26&gt;=13/2,"Força regional",IF(E26&gt;=13/2,"Fraqueza regional","Heterogêneo")))</f>
        <v>Heterogêneo</v>
      </c>
    </row>
    <row r="27" customFormat="false" ht="15" hidden="false" customHeight="true" outlineLevel="0" collapsed="false">
      <c r="A27" s="36" t="str">
        <f aca="false">'Indicadores (F-W)'!A12</f>
        <v>IND-02</v>
      </c>
      <c r="B27" s="38" t="str">
        <f aca="false">'Indicadores (F-W)'!C12</f>
        <v>Variação do emprego formal na indústria em 5 anos</v>
      </c>
      <c r="C27" s="36" t="n">
        <f aca="false">COUNTIF('Indicadores (F-W)'!$N12:$AM12,"Força")</f>
        <v>8</v>
      </c>
      <c r="D27" s="36" t="n">
        <f aca="false">COUNTIF('Indicadores (F-W)'!$N12:$AM12,"Neutro")</f>
        <v>0</v>
      </c>
      <c r="E27" s="36" t="n">
        <f aca="false">COUNTIF('Indicadores (F-W)'!$N12:$AM12,"Fraqueza")</f>
        <v>5</v>
      </c>
      <c r="F27" s="36" t="n">
        <f aca="false">13-C27-D27-E27</f>
        <v>0</v>
      </c>
      <c r="G27" s="36" t="str">
        <f aca="false">IF(C27+D27+E27=0,"sem dados",IF(C27&gt;=13/2,"Força regional",IF(E27&gt;=13/2,"Fraqueza regional","Heterogêneo")))</f>
        <v>Força regional</v>
      </c>
    </row>
    <row r="28" customFormat="false" ht="15" hidden="false" customHeight="true" outlineLevel="0" collapsed="false">
      <c r="A28" s="36" t="str">
        <f aca="false">'Indicadores (F-W)'!A13</f>
        <v>IND-03</v>
      </c>
      <c r="B28" s="38" t="str">
        <f aca="false">'Indicadores (F-W)'!C13</f>
        <v>Remuneração média do emprego formal industrial</v>
      </c>
      <c r="C28" s="36" t="n">
        <f aca="false">COUNTIF('Indicadores (F-W)'!$N13:$AM13,"Força")</f>
        <v>0</v>
      </c>
      <c r="D28" s="36" t="n">
        <f aca="false">COUNTIF('Indicadores (F-W)'!$N13:$AM13,"Neutro")</f>
        <v>5</v>
      </c>
      <c r="E28" s="36" t="n">
        <f aca="false">COUNTIF('Indicadores (F-W)'!$N13:$AM13,"Fraqueza")</f>
        <v>8</v>
      </c>
      <c r="F28" s="36" t="n">
        <f aca="false">13-C28-D28-E28</f>
        <v>0</v>
      </c>
      <c r="G28" s="36" t="str">
        <f aca="false">IF(C28+D28+E28=0,"sem dados",IF(C28&gt;=13/2,"Força regional",IF(E28&gt;=13/2,"Fraqueza regional","Heterogêneo")))</f>
        <v>Fraqueza regional</v>
      </c>
    </row>
    <row r="29" customFormat="false" ht="23.25" hidden="false" customHeight="true" outlineLevel="0" collapsed="false">
      <c r="A29" s="36" t="str">
        <f aca="false">'Indicadores (F-W)'!A14</f>
        <v>CS-01</v>
      </c>
      <c r="B29" s="38" t="str">
        <f aca="false">'Indicadores (F-W)'!C14</f>
        <v>Quociente locacional do VAB de serviços, exceto adm. pública (base MT)</v>
      </c>
      <c r="C29" s="36" t="n">
        <f aca="false">COUNTIF('Indicadores (F-W)'!$N14:$AM14,"Força")</f>
        <v>2</v>
      </c>
      <c r="D29" s="36" t="n">
        <f aca="false">COUNTIF('Indicadores (F-W)'!$N14:$AM14,"Neutro")</f>
        <v>2</v>
      </c>
      <c r="E29" s="36" t="n">
        <f aca="false">COUNTIF('Indicadores (F-W)'!$N14:$AM14,"Fraqueza")</f>
        <v>9</v>
      </c>
      <c r="F29" s="36" t="n">
        <f aca="false">13-C29-D29-E29</f>
        <v>0</v>
      </c>
      <c r="G29" s="36" t="str">
        <f aca="false">IF(C29+D29+E29=0,"sem dados",IF(C29&gt;=13/2,"Força regional",IF(E29&gt;=13/2,"Fraqueza regional","Heterogêneo")))</f>
        <v>Fraqueza regional</v>
      </c>
    </row>
    <row r="30" customFormat="false" ht="23.25" hidden="false" customHeight="true" outlineLevel="0" collapsed="false">
      <c r="A30" s="36" t="str">
        <f aca="false">'Indicadores (F-W)'!A15</f>
        <v>CS-02</v>
      </c>
      <c r="B30" s="38" t="str">
        <f aca="false">'Indicadores (F-W)'!C15</f>
        <v>Variação do emprego formal em comércio e serviços em 5 anos</v>
      </c>
      <c r="C30" s="36" t="n">
        <f aca="false">COUNTIF('Indicadores (F-W)'!$N15:$AM15,"Força")</f>
        <v>3</v>
      </c>
      <c r="D30" s="36" t="n">
        <f aca="false">COUNTIF('Indicadores (F-W)'!$N15:$AM15,"Neutro")</f>
        <v>1</v>
      </c>
      <c r="E30" s="36" t="n">
        <f aca="false">COUNTIF('Indicadores (F-W)'!$N15:$AM15,"Fraqueza")</f>
        <v>9</v>
      </c>
      <c r="F30" s="36" t="n">
        <f aca="false">13-C30-D30-E30</f>
        <v>0</v>
      </c>
      <c r="G30" s="36" t="str">
        <f aca="false">IF(C30+D30+E30=0,"sem dados",IF(C30&gt;=13/2,"Força regional",IF(E30&gt;=13/2,"Fraqueza regional","Heterogêneo")))</f>
        <v>Fraqueza regional</v>
      </c>
    </row>
    <row r="31" customFormat="false" ht="15" hidden="false" customHeight="true" outlineLevel="0" collapsed="false">
      <c r="A31" s="36" t="str">
        <f aca="false">'Indicadores (F-W)'!A16</f>
        <v>CS-03</v>
      </c>
      <c r="B31" s="38" t="str">
        <f aca="false">'Indicadores (F-W)'!C16</f>
        <v>Empresas e outras organizações ativas por mil habitantes</v>
      </c>
      <c r="C31" s="36" t="n">
        <f aca="false">COUNTIF('Indicadores (F-W)'!$N16:$AM16,"Força")</f>
        <v>1</v>
      </c>
      <c r="D31" s="36" t="n">
        <f aca="false">COUNTIF('Indicadores (F-W)'!$N16:$AM16,"Neutro")</f>
        <v>1</v>
      </c>
      <c r="E31" s="36" t="n">
        <f aca="false">COUNTIF('Indicadores (F-W)'!$N16:$AM16,"Fraqueza")</f>
        <v>11</v>
      </c>
      <c r="F31" s="36" t="n">
        <f aca="false">13-C31-D31-E31</f>
        <v>0</v>
      </c>
      <c r="G31" s="36" t="str">
        <f aca="false">IF(C31+D31+E31=0,"sem dados",IF(C31&gt;=13/2,"Força regional",IF(E31&gt;=13/2,"Fraqueza regional","Heterogêneo")))</f>
        <v>Fraqueza regional</v>
      </c>
    </row>
    <row r="32" customFormat="false" ht="15" hidden="false" customHeight="true" outlineLevel="0" collapsed="false">
      <c r="A32" s="36" t="str">
        <f aca="false">'Indicadores (F-W)'!A17</f>
        <v>EST-01</v>
      </c>
      <c r="B32" s="38" t="str">
        <f aca="false">'Indicadores (F-W)'!C17</f>
        <v>PIB per capita</v>
      </c>
      <c r="C32" s="36" t="n">
        <f aca="false">COUNTIF('Indicadores (F-W)'!$N17:$AM17,"Força")</f>
        <v>1</v>
      </c>
      <c r="D32" s="36" t="n">
        <f aca="false">COUNTIF('Indicadores (F-W)'!$N17:$AM17,"Neutro")</f>
        <v>1</v>
      </c>
      <c r="E32" s="36" t="n">
        <f aca="false">COUNTIF('Indicadores (F-W)'!$N17:$AM17,"Fraqueza")</f>
        <v>11</v>
      </c>
      <c r="F32" s="36" t="n">
        <f aca="false">13-C32-D32-E32</f>
        <v>0</v>
      </c>
      <c r="G32" s="36" t="str">
        <f aca="false">IF(C32+D32+E32=0,"sem dados",IF(C32&gt;=13/2,"Força regional",IF(E32&gt;=13/2,"Fraqueza regional","Heterogêneo")))</f>
        <v>Fraqueza regional</v>
      </c>
    </row>
    <row r="33" customFormat="false" ht="15" hidden="false" customHeight="true" outlineLevel="0" collapsed="false">
      <c r="A33" s="36" t="str">
        <f aca="false">'Indicadores (F-W)'!A18</f>
        <v>EST-02</v>
      </c>
      <c r="B33" s="38" t="str">
        <f aca="false">'Indicadores (F-W)'!C18</f>
        <v>Participação da administração pública no VAB total</v>
      </c>
      <c r="C33" s="36" t="n">
        <f aca="false">COUNTIF('Indicadores (F-W)'!$N18:$AM18,"Força")</f>
        <v>1</v>
      </c>
      <c r="D33" s="36" t="n">
        <f aca="false">COUNTIF('Indicadores (F-W)'!$N18:$AM18,"Neutro")</f>
        <v>1</v>
      </c>
      <c r="E33" s="36" t="n">
        <f aca="false">COUNTIF('Indicadores (F-W)'!$N18:$AM18,"Fraqueza")</f>
        <v>11</v>
      </c>
      <c r="F33" s="36" t="n">
        <f aca="false">13-C33-D33-E33</f>
        <v>0</v>
      </c>
      <c r="G33" s="36" t="str">
        <f aca="false">IF(C33+D33+E33=0,"sem dados",IF(C33&gt;=13/2,"Força regional",IF(E33&gt;=13/2,"Fraqueza regional","Heterogêneo")))</f>
        <v>Fraqueza regional</v>
      </c>
    </row>
    <row r="34" customFormat="false" ht="15" hidden="false" customHeight="true" outlineLevel="0" collapsed="false">
      <c r="A34" s="36" t="str">
        <f aca="false">'Indicadores (F-W)'!A19</f>
        <v>EST-03</v>
      </c>
      <c r="B34" s="38" t="str">
        <f aca="false">'Indicadores (F-W)'!C19</f>
        <v>Vínculos formais por 100 habitantes</v>
      </c>
      <c r="C34" s="36" t="n">
        <f aca="false">COUNTIF('Indicadores (F-W)'!$N19:$AM19,"Força")</f>
        <v>1</v>
      </c>
      <c r="D34" s="36" t="n">
        <f aca="false">COUNTIF('Indicadores (F-W)'!$N19:$AM19,"Neutro")</f>
        <v>2</v>
      </c>
      <c r="E34" s="36" t="n">
        <f aca="false">COUNTIF('Indicadores (F-W)'!$N19:$AM19,"Fraqueza")</f>
        <v>10</v>
      </c>
      <c r="F34" s="36" t="n">
        <f aca="false">13-C34-D34-E34</f>
        <v>0</v>
      </c>
      <c r="G34" s="36" t="str">
        <f aca="false">IF(C34+D34+E34=0,"sem dados",IF(C34&gt;=13/2,"Força regional",IF(E34&gt;=13/2,"Fraqueza regional","Heterogêneo")))</f>
        <v>Fraqueza regional</v>
      </c>
    </row>
    <row r="35" customFormat="false" ht="23.25" hidden="false" customHeight="true" outlineLevel="0" collapsed="false">
      <c r="A35" s="36" t="str">
        <f aca="false">'Indicadores (F-W)'!A20</f>
        <v>EST-04</v>
      </c>
      <c r="B35" s="38" t="str">
        <f aca="false">'Indicadores (F-W)'!C20</f>
        <v>Concentração setorial do emprego formal (HHI por seção CNAE)</v>
      </c>
      <c r="C35" s="36" t="n">
        <f aca="false">COUNTIF('Indicadores (F-W)'!$N20:$AM20,"Força")</f>
        <v>0</v>
      </c>
      <c r="D35" s="36" t="n">
        <f aca="false">COUNTIF('Indicadores (F-W)'!$N20:$AM20,"Neutro")</f>
        <v>3</v>
      </c>
      <c r="E35" s="36" t="n">
        <f aca="false">COUNTIF('Indicadores (F-W)'!$N20:$AM20,"Fraqueza")</f>
        <v>10</v>
      </c>
      <c r="F35" s="36" t="n">
        <f aca="false">13-C35-D35-E35</f>
        <v>0</v>
      </c>
      <c r="G35" s="36" t="str">
        <f aca="false">IF(C35+D35+E35=0,"sem dados",IF(C35&gt;=13/2,"Força regional",IF(E35&gt;=13/2,"Fraqueza regional","Heterogêneo")))</f>
        <v>Fraqueza regional</v>
      </c>
    </row>
    <row r="36" customFormat="false" ht="15" hidden="false" customHeight="true" outlineLevel="0" collapsed="false">
      <c r="A36" s="36" t="str">
        <f aca="false">'Indicadores (F-W)'!A21</f>
        <v>EST-05</v>
      </c>
      <c r="B36" s="38" t="str">
        <f aca="false">'Indicadores (F-W)'!C21</f>
        <v>Receitas próprias / receita corrente</v>
      </c>
      <c r="C36" s="36" t="n">
        <f aca="false">COUNTIF('Indicadores (F-W)'!$N21:$AM21,"Força")</f>
        <v>1</v>
      </c>
      <c r="D36" s="36" t="n">
        <f aca="false">COUNTIF('Indicadores (F-W)'!$N21:$AM21,"Neutro")</f>
        <v>1</v>
      </c>
      <c r="E36" s="36" t="n">
        <f aca="false">COUNTIF('Indicadores (F-W)'!$N21:$AM21,"Fraqueza")</f>
        <v>11</v>
      </c>
      <c r="F36" s="36" t="n">
        <f aca="false">13-C36-D36-E36</f>
        <v>0</v>
      </c>
      <c r="G36" s="36" t="str">
        <f aca="false">IF(C36+D36+E36=0,"sem dados",IF(C36&gt;=13/2,"Força regional",IF(E36&gt;=13/2,"Fraqueza regional","Heterogêneo")))</f>
        <v>Fraqueza regional</v>
      </c>
    </row>
    <row r="38" customFormat="false" ht="15" hidden="false" customHeight="true" outlineLevel="0" collapsed="false">
      <c r="A38" s="37" t="s">
        <v>65</v>
      </c>
    </row>
    <row r="39" customFormat="false" ht="23.25" hidden="false" customHeight="true" outlineLevel="0" collapsed="false">
      <c r="A39" s="34" t="s">
        <v>59</v>
      </c>
      <c r="B39" s="34" t="s">
        <v>66</v>
      </c>
      <c r="C39" s="34" t="s">
        <v>67</v>
      </c>
      <c r="D39" s="34" t="s">
        <v>68</v>
      </c>
      <c r="E39" s="34" t="s">
        <v>69</v>
      </c>
    </row>
    <row r="40" customFormat="false" ht="15" hidden="false" customHeight="true" outlineLevel="0" collapsed="false">
      <c r="A40" s="36" t="str">
        <f aca="false">'Fatores Externos (O-A)'!A6</f>
        <v>OP-01</v>
      </c>
      <c r="B40" s="38" t="str">
        <f aca="false">'Fatores Externos (O-A)'!D6</f>
        <v>Demanda externa por carne bovina e proteína animal</v>
      </c>
      <c r="C40" s="36" t="str">
        <f aca="false">'Fatores Externos (O-A)'!B6</f>
        <v>Oportunidade</v>
      </c>
      <c r="D40" s="36" t="n">
        <f aca="false">COUNTIF('Fatores Externos (O-A)'!$F6:$R6,"&gt;="&amp;Parâmetros!$B$5)</f>
        <v>12</v>
      </c>
      <c r="E40" s="39" t="n">
        <f aca="false">IF(COUNT('Fatores Externos (O-A)'!$F6:$R6)=0,"",AVERAGE('Fatores Externos (O-A)'!$F6:$R6))</f>
        <v>2.15384615384615</v>
      </c>
    </row>
    <row r="41" customFormat="false" ht="23.25" hidden="false" customHeight="true" outlineLevel="0" collapsed="false">
      <c r="A41" s="36" t="str">
        <f aca="false">'Fatores Externos (O-A)'!A7</f>
        <v>OP-02</v>
      </c>
      <c r="B41" s="38" t="str">
        <f aca="false">'Fatores Externos (O-A)'!D7</f>
        <v>Mercados para produtos diferenciados e certificados (carne sustentável/orgânica, origem Pantanal)</v>
      </c>
      <c r="C41" s="36" t="str">
        <f aca="false">'Fatores Externos (O-A)'!B7</f>
        <v>Oportunidade</v>
      </c>
      <c r="D41" s="36" t="n">
        <f aca="false">COUNTIF('Fatores Externos (O-A)'!$F7:$R7,"&gt;="&amp;Parâmetros!$B$5)</f>
        <v>6</v>
      </c>
      <c r="E41" s="39" t="n">
        <f aca="false">IF(COUNT('Fatores Externos (O-A)'!$F7:$R7)=0,"",AVERAGE('Fatores Externos (O-A)'!$F7:$R7))</f>
        <v>1.76923076923077</v>
      </c>
    </row>
    <row r="42" customFormat="false" ht="23.25" hidden="false" customHeight="true" outlineLevel="0" collapsed="false">
      <c r="A42" s="36" t="str">
        <f aca="false">'Fatores Externos (O-A)'!A8</f>
        <v>OP-03</v>
      </c>
      <c r="B42" s="38" t="str">
        <f aca="false">'Fatores Externos (O-A)'!D8</f>
        <v>Expansão do turismo de natureza, pesca esportiva e ecoturismo</v>
      </c>
      <c r="C42" s="36" t="str">
        <f aca="false">'Fatores Externos (O-A)'!B8</f>
        <v>Oportunidade</v>
      </c>
      <c r="D42" s="36" t="n">
        <f aca="false">COUNTIF('Fatores Externos (O-A)'!$F8:$R8,"&gt;="&amp;Parâmetros!$B$5)</f>
        <v>6</v>
      </c>
      <c r="E42" s="39" t="n">
        <f aca="false">IF(COUNT('Fatores Externos (O-A)'!$F8:$R8)=0,"",AVERAGE('Fatores Externos (O-A)'!$F8:$R8))</f>
        <v>1.61538461538462</v>
      </c>
    </row>
    <row r="43" customFormat="false" ht="23.25" hidden="false" customHeight="true" outlineLevel="0" collapsed="false">
      <c r="A43" s="36" t="str">
        <f aca="false">'Fatores Externos (O-A)'!A9</f>
        <v>OP-04</v>
      </c>
      <c r="B43" s="38" t="str">
        <f aca="false">'Fatores Externos (O-A)'!D9</f>
        <v>Agroindustrialização e verticalização (frigoríficos, laticínios, sucroenergético)</v>
      </c>
      <c r="C43" s="36" t="str">
        <f aca="false">'Fatores Externos (O-A)'!B9</f>
        <v>Oportunidade</v>
      </c>
      <c r="D43" s="36" t="n">
        <f aca="false">COUNTIF('Fatores Externos (O-A)'!$F9:$R9,"&gt;="&amp;Parâmetros!$B$5)</f>
        <v>6</v>
      </c>
      <c r="E43" s="39" t="n">
        <f aca="false">IF(COUNT('Fatores Externos (O-A)'!$F9:$R9)=0,"",AVERAGE('Fatores Externos (O-A)'!$F9:$R9))</f>
        <v>1.61538461538462</v>
      </c>
    </row>
    <row r="44" customFormat="false" ht="23.25" hidden="false" customHeight="true" outlineLevel="0" collapsed="false">
      <c r="A44" s="36" t="str">
        <f aca="false">'Fatores Externos (O-A)'!A10</f>
        <v>OP-05</v>
      </c>
      <c r="B44" s="38" t="str">
        <f aca="false">'Fatores Externos (O-A)'!D10</f>
        <v>Corredores logísticos (rodovias federais, ferrovia, hidrovia do Paraguai)</v>
      </c>
      <c r="C44" s="36" t="str">
        <f aca="false">'Fatores Externos (O-A)'!B10</f>
        <v>Oportunidade</v>
      </c>
      <c r="D44" s="36" t="n">
        <f aca="false">COUNTIF('Fatores Externos (O-A)'!$F10:$R10,"&gt;="&amp;Parâmetros!$B$5)</f>
        <v>8</v>
      </c>
      <c r="E44" s="39" t="n">
        <f aca="false">IF(COUNT('Fatores Externos (O-A)'!$F10:$R10)=0,"",AVERAGE('Fatores Externos (O-A)'!$F10:$R10))</f>
        <v>1.76923076923077</v>
      </c>
    </row>
    <row r="45" customFormat="false" ht="23.25" hidden="false" customHeight="true" outlineLevel="0" collapsed="false">
      <c r="A45" s="36" t="str">
        <f aca="false">'Fatores Externos (O-A)'!A11</f>
        <v>OP-06</v>
      </c>
      <c r="B45" s="38" t="str">
        <f aca="false">'Fatores Externos (O-A)'!D11</f>
        <v>Instrumentos de fomento e financiamento (FCO, crédito rural, PSA, mercado de carbono)</v>
      </c>
      <c r="C45" s="36" t="str">
        <f aca="false">'Fatores Externos (O-A)'!B11</f>
        <v>Oportunidade</v>
      </c>
      <c r="D45" s="36" t="n">
        <f aca="false">COUNTIF('Fatores Externos (O-A)'!$F11:$R11,"&gt;="&amp;Parâmetros!$B$5)</f>
        <v>13</v>
      </c>
      <c r="E45" s="39" t="n">
        <f aca="false">IF(COUNT('Fatores Externos (O-A)'!$F11:$R11)=0,"",AVERAGE('Fatores Externos (O-A)'!$F11:$R11))</f>
        <v>2.30769230769231</v>
      </c>
    </row>
    <row r="46" customFormat="false" ht="23.25" hidden="false" customHeight="true" outlineLevel="0" collapsed="false">
      <c r="A46" s="36" t="str">
        <f aca="false">'Fatores Externos (O-A)'!A12</f>
        <v>AM-01</v>
      </c>
      <c r="B46" s="38" t="str">
        <f aca="false">'Fatores Externos (O-A)'!D12</f>
        <v>Eventos climáticos extremos: secas prolongadas e incêndios no Pantanal</v>
      </c>
      <c r="C46" s="36" t="str">
        <f aca="false">'Fatores Externos (O-A)'!B12</f>
        <v>Ameaça</v>
      </c>
      <c r="D46" s="36" t="n">
        <f aca="false">COUNTIF('Fatores Externos (O-A)'!$F12:$R12,"&gt;="&amp;Parâmetros!$B$5)</f>
        <v>7</v>
      </c>
      <c r="E46" s="39" t="n">
        <f aca="false">IF(COUNT('Fatores Externos (O-A)'!$F12:$R12)=0,"",AVERAGE('Fatores Externos (O-A)'!$F12:$R12))</f>
        <v>1.84615384615385</v>
      </c>
    </row>
    <row r="47" customFormat="false" ht="23.25" hidden="false" customHeight="true" outlineLevel="0" collapsed="false">
      <c r="A47" s="36" t="str">
        <f aca="false">'Fatores Externos (O-A)'!A13</f>
        <v>AM-02</v>
      </c>
      <c r="B47" s="38" t="str">
        <f aca="false">'Fatores Externos (O-A)'!D13</f>
        <v>Volatilidade de preços de commodities (boi gordo, soja, milho)</v>
      </c>
      <c r="C47" s="36" t="str">
        <f aca="false">'Fatores Externos (O-A)'!B13</f>
        <v>Ameaça</v>
      </c>
      <c r="D47" s="36" t="n">
        <f aca="false">COUNTIF('Fatores Externos (O-A)'!$F13:$R13,"&gt;="&amp;Parâmetros!$B$5)</f>
        <v>12</v>
      </c>
      <c r="E47" s="39" t="n">
        <f aca="false">IF(COUNT('Fatores Externos (O-A)'!$F13:$R13)=0,"",AVERAGE('Fatores Externos (O-A)'!$F13:$R13))</f>
        <v>2.23076923076923</v>
      </c>
    </row>
    <row r="48" customFormat="false" ht="23.25" hidden="false" customHeight="true" outlineLevel="0" collapsed="false">
      <c r="A48" s="36" t="str">
        <f aca="false">'Fatores Externos (O-A)'!A14</f>
        <v>AM-03</v>
      </c>
      <c r="B48" s="38" t="str">
        <f aca="false">'Fatores Externos (O-A)'!D14</f>
        <v>Exigências ambientais de mercados importadores e barreiras ligadas a desmatamento (ex.: EUDR)</v>
      </c>
      <c r="C48" s="36" t="str">
        <f aca="false">'Fatores Externos (O-A)'!B14</f>
        <v>Ameaça</v>
      </c>
      <c r="D48" s="36" t="n">
        <f aca="false">COUNTIF('Fatores Externos (O-A)'!$F14:$R14,"&gt;="&amp;Parâmetros!$B$5)</f>
        <v>11</v>
      </c>
      <c r="E48" s="39" t="n">
        <f aca="false">IF(COUNT('Fatores Externos (O-A)'!$F14:$R14)=0,"",AVERAGE('Fatores Externos (O-A)'!$F14:$R14))</f>
        <v>2.15384615384615</v>
      </c>
    </row>
    <row r="49" customFormat="false" ht="23.25" hidden="false" customHeight="true" outlineLevel="0" collapsed="false">
      <c r="A49" s="36" t="str">
        <f aca="false">'Fatores Externos (O-A)'!A15</f>
        <v>AM-04</v>
      </c>
      <c r="B49" s="38" t="str">
        <f aca="false">'Fatores Externos (O-A)'!D15</f>
        <v>Transição da Reforma Tributária (IBS/CBS) e efeitos sobre a repartição de receitas municipais</v>
      </c>
      <c r="C49" s="36" t="str">
        <f aca="false">'Fatores Externos (O-A)'!B15</f>
        <v>Ameaça</v>
      </c>
      <c r="D49" s="36" t="n">
        <f aca="false">COUNTIF('Fatores Externos (O-A)'!$F15:$R15,"&gt;="&amp;Parâmetros!$B$5)</f>
        <v>7</v>
      </c>
      <c r="E49" s="39" t="n">
        <f aca="false">IF(COUNT('Fatores Externos (O-A)'!$F15:$R15)=0,"",AVERAGE('Fatores Externos (O-A)'!$F15:$R15))</f>
        <v>1.69230769230769</v>
      </c>
    </row>
    <row r="50" customFormat="false" ht="23.25" hidden="false" customHeight="true" outlineLevel="0" collapsed="false">
      <c r="A50" s="36" t="str">
        <f aca="false">'Fatores Externos (O-A)'!A16</f>
        <v>AM-05</v>
      </c>
      <c r="B50" s="38" t="str">
        <f aca="false">'Fatores Externos (O-A)'!D16</f>
        <v>Polarização regional por centros maiores (evasão de consumo, serviços e mão de obra)</v>
      </c>
      <c r="C50" s="36" t="str">
        <f aca="false">'Fatores Externos (O-A)'!B16</f>
        <v>Ameaça</v>
      </c>
      <c r="D50" s="36" t="n">
        <f aca="false">COUNTIF('Fatores Externos (O-A)'!$F16:$R16,"&gt;="&amp;Parâmetros!$B$5)</f>
        <v>10</v>
      </c>
      <c r="E50" s="39" t="n">
        <f aca="false">IF(COUNT('Fatores Externos (O-A)'!$F16:$R16)=0,"",AVERAGE('Fatores Externos (O-A)'!$F16:$R16))</f>
        <v>2.15384615384615</v>
      </c>
    </row>
    <row r="52" customFormat="false" ht="15" hidden="false" customHeight="true" outlineLevel="0" collapsed="false">
      <c r="A52" s="33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Z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9" min="2" style="1" width="11"/>
    <col collapsed="false" customWidth="true" hidden="false" outlineLevel="0" max="10" min="10" style="1" width="13"/>
    <col collapsed="false" customWidth="true" hidden="false" outlineLevel="0" max="11" min="11" style="1" width="11"/>
    <col collapsed="false" customWidth="true" hidden="false" outlineLevel="0" max="12" min="12" style="1" width="10"/>
    <col collapsed="false" customWidth="true" hidden="false" outlineLevel="0" max="13" min="13" style="1" width="13"/>
    <col collapsed="false" customWidth="true" hidden="false" outlineLevel="0" max="14" min="14" style="1" width="11"/>
    <col collapsed="false" customWidth="true" hidden="false" outlineLevel="0" max="15" min="15" style="1" width="15"/>
    <col collapsed="false" customWidth="true" hidden="false" outlineLevel="0" max="16" min="16" style="1" width="11"/>
    <col collapsed="false" customWidth="true" hidden="false" outlineLevel="0" max="19" min="17" style="1" width="10"/>
    <col collapsed="false" customWidth="true" hidden="true" outlineLevel="0" max="26" min="22" style="1" width="13"/>
  </cols>
  <sheetData>
    <row r="1" customFormat="false" ht="15.75" hidden="false" customHeight="true" outlineLevel="0" collapsed="false">
      <c r="A1" s="2" t="s">
        <v>71</v>
      </c>
    </row>
    <row r="2" customFormat="false" ht="15" hidden="false" customHeight="true" outlineLevel="0" collapsed="false">
      <c r="A2" s="9" t="s">
        <v>72</v>
      </c>
    </row>
    <row r="4" customFormat="false" ht="15" hidden="false" customHeight="true" outlineLevel="0" collapsed="false">
      <c r="A4" s="6" t="s">
        <v>73</v>
      </c>
    </row>
    <row r="5" customFormat="false" ht="15" hidden="false" customHeight="true" outlineLevel="0" collapsed="false">
      <c r="A5" s="40" t="s">
        <v>74</v>
      </c>
      <c r="B5" s="41" t="n">
        <v>0.379769</v>
      </c>
      <c r="C5" s="33" t="s">
        <v>75</v>
      </c>
    </row>
    <row r="6" customFormat="false" ht="15" hidden="false" customHeight="true" outlineLevel="0" collapsed="false">
      <c r="A6" s="40" t="s">
        <v>76</v>
      </c>
      <c r="B6" s="41" t="n">
        <v>0.152977</v>
      </c>
    </row>
    <row r="7" customFormat="false" ht="15" hidden="false" customHeight="true" outlineLevel="0" collapsed="false">
      <c r="A7" s="40" t="s">
        <v>77</v>
      </c>
      <c r="B7" s="41" t="n">
        <v>0.348365</v>
      </c>
    </row>
    <row r="8" customFormat="false" ht="15" hidden="false" customHeight="true" outlineLevel="0" collapsed="false">
      <c r="A8" s="40" t="s">
        <v>78</v>
      </c>
      <c r="B8" s="41" t="n">
        <v>0.118888</v>
      </c>
    </row>
    <row r="10" customFormat="false" ht="15" hidden="false" customHeight="true" outlineLevel="0" collapsed="false">
      <c r="E10" s="42" t="s">
        <v>79</v>
      </c>
      <c r="F10" s="42"/>
      <c r="G10" s="42"/>
      <c r="H10" s="42"/>
    </row>
    <row r="11" customFormat="false" ht="43.5" hidden="false" customHeight="true" outlineLevel="0" collapsed="false">
      <c r="A11" s="34" t="s">
        <v>37</v>
      </c>
      <c r="B11" s="34" t="s">
        <v>80</v>
      </c>
      <c r="C11" s="34" t="s">
        <v>81</v>
      </c>
      <c r="D11" s="34" t="s">
        <v>82</v>
      </c>
      <c r="E11" s="34" t="s">
        <v>74</v>
      </c>
      <c r="F11" s="34" t="s">
        <v>76</v>
      </c>
      <c r="G11" s="34" t="s">
        <v>83</v>
      </c>
      <c r="H11" s="34" t="s">
        <v>84</v>
      </c>
      <c r="I11" s="34" t="s">
        <v>85</v>
      </c>
      <c r="J11" s="34" t="s">
        <v>86</v>
      </c>
      <c r="K11" s="34" t="s">
        <v>87</v>
      </c>
      <c r="L11" s="34" t="s">
        <v>88</v>
      </c>
      <c r="M11" s="34" t="s">
        <v>89</v>
      </c>
      <c r="N11" s="34" t="s">
        <v>90</v>
      </c>
      <c r="O11" s="34" t="s">
        <v>91</v>
      </c>
      <c r="P11" s="34" t="s">
        <v>92</v>
      </c>
      <c r="Q11" s="34" t="s">
        <v>93</v>
      </c>
      <c r="R11" s="34" t="s">
        <v>94</v>
      </c>
      <c r="S11" s="34" t="s">
        <v>95</v>
      </c>
    </row>
    <row r="12" customFormat="false" ht="15" hidden="false" customHeight="true" outlineLevel="0" collapsed="false">
      <c r="A12" s="35" t="s">
        <v>46</v>
      </c>
      <c r="B12" s="43" t="n">
        <f aca="false">'Indicadores (F-W)'!N6</f>
        <v>0.9631</v>
      </c>
      <c r="C12" s="43" t="n">
        <f aca="false">'Indicadores (F-W)'!N11</f>
        <v>0.169</v>
      </c>
      <c r="D12" s="43" t="n">
        <f aca="false">'Indicadores (F-W)'!N14</f>
        <v>0.4274</v>
      </c>
      <c r="E12" s="44" t="n">
        <f aca="false">B12*$B$5</f>
        <v>0.3657555239</v>
      </c>
      <c r="F12" s="44" t="n">
        <f aca="false">C12*$B$6</f>
        <v>0.025853113</v>
      </c>
      <c r="G12" s="44" t="n">
        <f aca="false">D12*$B$7</f>
        <v>0.148891201</v>
      </c>
      <c r="H12" s="44" t="n">
        <f aca="false">'Indicadores (F-W)'!N18/100</f>
        <v>0.4595</v>
      </c>
      <c r="I12" s="44" t="n">
        <f aca="false">SUM(E12:H12)</f>
        <v>0.9999998379</v>
      </c>
      <c r="J12" s="45" t="n">
        <f aca="false">0.5*(ABS(E12-$B$5)+ABS(F12-$B$6)+ABS(G12-$B$7)+ABS(H12-$B$8))</f>
        <v>0.34061158105</v>
      </c>
      <c r="K12" s="46" t="n">
        <f aca="false">RANK(J12,$J$12:$J$24,0)</f>
        <v>2</v>
      </c>
      <c r="L12" s="45" t="n">
        <f aca="false">SUMSQ(E12:H12)</f>
        <v>0.367754326450377</v>
      </c>
      <c r="M12" s="45" t="n">
        <f aca="false">1-(L12-0.25)/0.75</f>
        <v>0.842994231399498</v>
      </c>
      <c r="N12" s="46" t="n">
        <f aca="false">RANK(M12,$M$12:$M$24,0)</f>
        <v>9</v>
      </c>
      <c r="O12" s="36" t="str">
        <f aca="false">INDEX($E$11:$H$11,MATCH(MAX(E12:H12),E12:H12,0))</f>
        <v>Adm. pública</v>
      </c>
      <c r="P12" s="44" t="n">
        <f aca="false">MAX(E12:H12)</f>
        <v>0.4595</v>
      </c>
      <c r="Q12" s="46" t="n">
        <f aca="false">RANK(B12,$B$12:$B$24,0)</f>
        <v>8</v>
      </c>
      <c r="R12" s="46" t="n">
        <f aca="false">RANK(C12,$C$12:$C$24,0)</f>
        <v>13</v>
      </c>
      <c r="S12" s="46" t="n">
        <f aca="false">RANK(D12,$D$12:$D$24,0)</f>
        <v>10</v>
      </c>
      <c r="V12" s="1" t="n">
        <f aca="false">B12-ROW()*0.000000001</f>
        <v>0.963099988</v>
      </c>
      <c r="W12" s="1" t="n">
        <f aca="false">C12-ROW()*0.000000001</f>
        <v>0.168999988</v>
      </c>
      <c r="X12" s="1" t="n">
        <f aca="false">D12-ROW()*0.000000001</f>
        <v>0.427399988</v>
      </c>
      <c r="Y12" s="1" t="n">
        <f aca="false">J12-ROW()*0.000000001</f>
        <v>0.34061156905</v>
      </c>
      <c r="Z12" s="1" t="n">
        <f aca="false">M12-ROW()*0.000000001</f>
        <v>0.842994219399498</v>
      </c>
    </row>
    <row r="13" customFormat="false" ht="15" hidden="false" customHeight="true" outlineLevel="0" collapsed="false">
      <c r="A13" s="35" t="s">
        <v>26</v>
      </c>
      <c r="B13" s="43" t="n">
        <f aca="false">'Indicadores (F-W)'!P6</f>
        <v>0.3713</v>
      </c>
      <c r="C13" s="43" t="n">
        <f aca="false">'Indicadores (F-W)'!P11</f>
        <v>0.6374</v>
      </c>
      <c r="D13" s="43" t="n">
        <f aca="false">'Indicadores (F-W)'!P14</f>
        <v>1.3013</v>
      </c>
      <c r="E13" s="44" t="n">
        <f aca="false">B13*$B$5</f>
        <v>0.1410082297</v>
      </c>
      <c r="F13" s="44" t="n">
        <f aca="false">C13*$B$6</f>
        <v>0.0975075398</v>
      </c>
      <c r="G13" s="44" t="n">
        <f aca="false">D13*$B$7</f>
        <v>0.4533273745</v>
      </c>
      <c r="H13" s="44" t="n">
        <f aca="false">'Indicadores (F-W)'!P18/100</f>
        <v>0.3082</v>
      </c>
      <c r="I13" s="44" t="n">
        <f aca="false">SUM(E13:H13)</f>
        <v>1.000043144</v>
      </c>
      <c r="J13" s="45" t="n">
        <f aca="false">0.5*(ABS(E13-$B$5)+ABS(F13-$B$6)+ABS(G13-$B$7)+ABS(H13-$B$8))</f>
        <v>0.2942523025</v>
      </c>
      <c r="K13" s="46" t="n">
        <f aca="false">RANK(J13,$J$12:$J$24,0)</f>
        <v>5</v>
      </c>
      <c r="L13" s="45" t="n">
        <f aca="false">SUMSQ(E13:H13)</f>
        <v>0.32988398963204</v>
      </c>
      <c r="M13" s="45" t="n">
        <f aca="false">1-(L13-0.25)/0.75</f>
        <v>0.893488013823947</v>
      </c>
      <c r="N13" s="46" t="n">
        <f aca="false">RANK(M13,$M$12:$M$24,0)</f>
        <v>5</v>
      </c>
      <c r="O13" s="36" t="str">
        <f aca="false">INDEX($E$11:$H$11,MATCH(MAX(E13:H13),E13:H13,0))</f>
        <v>Serviços</v>
      </c>
      <c r="P13" s="44" t="n">
        <f aca="false">MAX(E13:H13)</f>
        <v>0.4533273745</v>
      </c>
      <c r="Q13" s="46" t="n">
        <f aca="false">RANK(B13,$B$12:$B$24,0)</f>
        <v>12</v>
      </c>
      <c r="R13" s="46" t="n">
        <f aca="false">RANK(C13,$C$12:$C$24,0)</f>
        <v>8</v>
      </c>
      <c r="S13" s="46" t="n">
        <f aca="false">RANK(D13,$D$12:$D$24,0)</f>
        <v>2</v>
      </c>
      <c r="V13" s="1" t="n">
        <f aca="false">B13-ROW()*0.000000001</f>
        <v>0.371299987</v>
      </c>
      <c r="W13" s="1" t="n">
        <f aca="false">C13-ROW()*0.000000001</f>
        <v>0.637399987</v>
      </c>
      <c r="X13" s="1" t="n">
        <f aca="false">D13-ROW()*0.000000001</f>
        <v>1.301299987</v>
      </c>
      <c r="Y13" s="1" t="n">
        <f aca="false">J13-ROW()*0.000000001</f>
        <v>0.2942522895</v>
      </c>
      <c r="Z13" s="1" t="n">
        <f aca="false">M13-ROW()*0.000000001</f>
        <v>0.893488000823947</v>
      </c>
    </row>
    <row r="14" customFormat="false" ht="15" hidden="false" customHeight="true" outlineLevel="0" collapsed="false">
      <c r="A14" s="35" t="s">
        <v>47</v>
      </c>
      <c r="B14" s="43" t="n">
        <f aca="false">'Indicadores (F-W)'!R6</f>
        <v>1.2022</v>
      </c>
      <c r="C14" s="43" t="n">
        <f aca="false">'Indicadores (F-W)'!R11</f>
        <v>0.4717</v>
      </c>
      <c r="D14" s="43" t="n">
        <f aca="false">'Indicadores (F-W)'!R14</f>
        <v>0.5029</v>
      </c>
      <c r="E14" s="44" t="n">
        <f aca="false">B14*$B$5</f>
        <v>0.4565582918</v>
      </c>
      <c r="F14" s="44" t="n">
        <f aca="false">C14*$B$6</f>
        <v>0.0721592509</v>
      </c>
      <c r="G14" s="44" t="n">
        <f aca="false">D14*$B$7</f>
        <v>0.1751927585</v>
      </c>
      <c r="H14" s="44" t="n">
        <f aca="false">'Indicadores (F-W)'!R18/100</f>
        <v>0.2961</v>
      </c>
      <c r="I14" s="44" t="n">
        <f aca="false">SUM(E14:H14)</f>
        <v>1.0000103012</v>
      </c>
      <c r="J14" s="45" t="n">
        <f aca="false">0.5*(ABS(E14-$B$5)+ABS(F14-$B$6)+ABS(G14-$B$7)+ABS(H14-$B$8))</f>
        <v>0.2539956412</v>
      </c>
      <c r="K14" s="46" t="n">
        <f aca="false">RANK(J14,$J$12:$J$24,0)</f>
        <v>8</v>
      </c>
      <c r="L14" s="45" t="n">
        <f aca="false">SUMSQ(E14:H14)</f>
        <v>0.332020143932622</v>
      </c>
      <c r="M14" s="45" t="n">
        <f aca="false">1-(L14-0.25)/0.75</f>
        <v>0.890639808089837</v>
      </c>
      <c r="N14" s="46" t="n">
        <f aca="false">RANK(M14,$M$12:$M$24,0)</f>
        <v>6</v>
      </c>
      <c r="O14" s="36" t="str">
        <f aca="false">INDEX($E$11:$H$11,MATCH(MAX(E14:H14),E14:H14,0))</f>
        <v>Agropecuária</v>
      </c>
      <c r="P14" s="44" t="n">
        <f aca="false">MAX(E14:H14)</f>
        <v>0.4565582918</v>
      </c>
      <c r="Q14" s="46" t="n">
        <f aca="false">RANK(B14,$B$12:$B$24,0)</f>
        <v>6</v>
      </c>
      <c r="R14" s="46" t="n">
        <f aca="false">RANK(C14,$C$12:$C$24,0)</f>
        <v>11</v>
      </c>
      <c r="S14" s="46" t="n">
        <f aca="false">RANK(D14,$D$12:$D$24,0)</f>
        <v>7</v>
      </c>
      <c r="V14" s="1" t="n">
        <f aca="false">B14-ROW()*0.000000001</f>
        <v>1.202199986</v>
      </c>
      <c r="W14" s="1" t="n">
        <f aca="false">C14-ROW()*0.000000001</f>
        <v>0.471699986</v>
      </c>
      <c r="X14" s="1" t="n">
        <f aca="false">D14-ROW()*0.000000001</f>
        <v>0.502899986</v>
      </c>
      <c r="Y14" s="1" t="n">
        <f aca="false">J14-ROW()*0.000000001</f>
        <v>0.2539956272</v>
      </c>
      <c r="Z14" s="1" t="n">
        <f aca="false">M14-ROW()*0.000000001</f>
        <v>0.890639794089837</v>
      </c>
    </row>
    <row r="15" customFormat="false" ht="15" hidden="false" customHeight="true" outlineLevel="0" collapsed="false">
      <c r="A15" s="35" t="s">
        <v>48</v>
      </c>
      <c r="B15" s="43" t="n">
        <f aca="false">'Indicadores (F-W)'!T6</f>
        <v>1.3866</v>
      </c>
      <c r="C15" s="43" t="n">
        <f aca="false">'Indicadores (F-W)'!T11</f>
        <v>0.2854</v>
      </c>
      <c r="D15" s="43" t="n">
        <f aca="false">'Indicadores (F-W)'!T14</f>
        <v>0.4636</v>
      </c>
      <c r="E15" s="44" t="n">
        <f aca="false">B15*$B$5</f>
        <v>0.5265876954</v>
      </c>
      <c r="F15" s="44" t="n">
        <f aca="false">C15*$B$6</f>
        <v>0.0436596358</v>
      </c>
      <c r="G15" s="44" t="n">
        <f aca="false">D15*$B$7</f>
        <v>0.161502014</v>
      </c>
      <c r="H15" s="44" t="n">
        <f aca="false">'Indicadores (F-W)'!T18/100</f>
        <v>0.2683</v>
      </c>
      <c r="I15" s="44" t="n">
        <f aca="false">SUM(E15:H15)</f>
        <v>1.0000493452</v>
      </c>
      <c r="J15" s="45" t="n">
        <f aca="false">0.5*(ABS(E15-$B$5)+ABS(F15-$B$6)+ABS(G15-$B$7)+ABS(H15-$B$8))</f>
        <v>0.2962055228</v>
      </c>
      <c r="K15" s="46" t="n">
        <f aca="false">RANK(J15,$J$12:$J$24,0)</f>
        <v>4</v>
      </c>
      <c r="L15" s="45" t="n">
        <f aca="false">SUMSQ(E15:H15)</f>
        <v>0.377268555270928</v>
      </c>
      <c r="M15" s="45" t="n">
        <f aca="false">1-(L15-0.25)/0.75</f>
        <v>0.830308592972096</v>
      </c>
      <c r="N15" s="46" t="n">
        <f aca="false">RANK(M15,$M$12:$M$24,0)</f>
        <v>10</v>
      </c>
      <c r="O15" s="36" t="str">
        <f aca="false">INDEX($E$11:$H$11,MATCH(MAX(E15:H15),E15:H15,0))</f>
        <v>Agropecuária</v>
      </c>
      <c r="P15" s="44" t="n">
        <f aca="false">MAX(E15:H15)</f>
        <v>0.5265876954</v>
      </c>
      <c r="Q15" s="46" t="n">
        <f aca="false">RANK(B15,$B$12:$B$24,0)</f>
        <v>3</v>
      </c>
      <c r="R15" s="46" t="n">
        <f aca="false">RANK(C15,$C$12:$C$24,0)</f>
        <v>12</v>
      </c>
      <c r="S15" s="46" t="n">
        <f aca="false">RANK(D15,$D$12:$D$24,0)</f>
        <v>8</v>
      </c>
      <c r="V15" s="1" t="n">
        <f aca="false">B15-ROW()*0.000000001</f>
        <v>1.386599985</v>
      </c>
      <c r="W15" s="1" t="n">
        <f aca="false">C15-ROW()*0.000000001</f>
        <v>0.285399985</v>
      </c>
      <c r="X15" s="1" t="n">
        <f aca="false">D15-ROW()*0.000000001</f>
        <v>0.463599985</v>
      </c>
      <c r="Y15" s="1" t="n">
        <f aca="false">J15-ROW()*0.000000001</f>
        <v>0.2962055078</v>
      </c>
      <c r="Z15" s="1" t="n">
        <f aca="false">M15-ROW()*0.000000001</f>
        <v>0.830308577972096</v>
      </c>
    </row>
    <row r="16" customFormat="false" ht="15" hidden="false" customHeight="true" outlineLevel="0" collapsed="false">
      <c r="A16" s="35" t="s">
        <v>49</v>
      </c>
      <c r="B16" s="43" t="n">
        <f aca="false">'Indicadores (F-W)'!V6</f>
        <v>1.6266</v>
      </c>
      <c r="C16" s="43" t="n">
        <f aca="false">'Indicadores (F-W)'!V11</f>
        <v>1.2891</v>
      </c>
      <c r="D16" s="43" t="n">
        <f aca="false">'Indicadores (F-W)'!V14</f>
        <v>0.3623</v>
      </c>
      <c r="E16" s="44" t="n">
        <f aca="false">B16*$B$5</f>
        <v>0.6177322554</v>
      </c>
      <c r="F16" s="44" t="n">
        <f aca="false">C16*$B$6</f>
        <v>0.1972026507</v>
      </c>
      <c r="G16" s="44" t="n">
        <f aca="false">D16*$B$7</f>
        <v>0.1262126395</v>
      </c>
      <c r="H16" s="44" t="n">
        <f aca="false">'Indicadores (F-W)'!V18/100</f>
        <v>0.0588</v>
      </c>
      <c r="I16" s="44" t="n">
        <f aca="false">SUM(E16:H16)</f>
        <v>0.9999475456</v>
      </c>
      <c r="J16" s="45" t="n">
        <f aca="false">0.5*(ABS(E16-$B$5)+ABS(F16-$B$6)+ABS(G16-$B$7)+ABS(H16-$B$8))</f>
        <v>0.2822146333</v>
      </c>
      <c r="K16" s="46" t="n">
        <f aca="false">RANK(J16,$J$12:$J$24,0)</f>
        <v>7</v>
      </c>
      <c r="L16" s="45" t="n">
        <f aca="false">SUMSQ(E16:H16)</f>
        <v>0.439869095174234</v>
      </c>
      <c r="M16" s="45" t="n">
        <f aca="false">1-(L16-0.25)/0.75</f>
        <v>0.746841206434355</v>
      </c>
      <c r="N16" s="46" t="n">
        <f aca="false">RANK(M16,$M$12:$M$24,0)</f>
        <v>12</v>
      </c>
      <c r="O16" s="36" t="str">
        <f aca="false">INDEX($E$11:$H$11,MATCH(MAX(E16:H16),E16:H16,0))</f>
        <v>Agropecuária</v>
      </c>
      <c r="P16" s="44" t="n">
        <f aca="false">MAX(E16:H16)</f>
        <v>0.6177322554</v>
      </c>
      <c r="Q16" s="46" t="n">
        <f aca="false">RANK(B16,$B$12:$B$24,0)</f>
        <v>2</v>
      </c>
      <c r="R16" s="46" t="n">
        <f aca="false">RANK(C16,$C$12:$C$24,0)</f>
        <v>3</v>
      </c>
      <c r="S16" s="46" t="n">
        <f aca="false">RANK(D16,$D$12:$D$24,0)</f>
        <v>11</v>
      </c>
      <c r="V16" s="1" t="n">
        <f aca="false">B16-ROW()*0.000000001</f>
        <v>1.626599984</v>
      </c>
      <c r="W16" s="1" t="n">
        <f aca="false">C16-ROW()*0.000000001</f>
        <v>1.289099984</v>
      </c>
      <c r="X16" s="1" t="n">
        <f aca="false">D16-ROW()*0.000000001</f>
        <v>0.362299984</v>
      </c>
      <c r="Y16" s="1" t="n">
        <f aca="false">J16-ROW()*0.000000001</f>
        <v>0.2822146173</v>
      </c>
      <c r="Z16" s="1" t="n">
        <f aca="false">M16-ROW()*0.000000001</f>
        <v>0.746841190434355</v>
      </c>
    </row>
    <row r="17" customFormat="false" ht="15" hidden="false" customHeight="true" outlineLevel="0" collapsed="false">
      <c r="A17" s="35" t="s">
        <v>50</v>
      </c>
      <c r="B17" s="43" t="n">
        <f aca="false">'Indicadores (F-W)'!X6</f>
        <v>1.319</v>
      </c>
      <c r="C17" s="43" t="n">
        <f aca="false">'Indicadores (F-W)'!X11</f>
        <v>1.1671</v>
      </c>
      <c r="D17" s="43" t="n">
        <f aca="false">'Indicadores (F-W)'!X14</f>
        <v>0.4388</v>
      </c>
      <c r="E17" s="44" t="n">
        <f aca="false">B17*$B$5</f>
        <v>0.500915311</v>
      </c>
      <c r="F17" s="44" t="n">
        <f aca="false">C17*$B$6</f>
        <v>0.1785394567</v>
      </c>
      <c r="G17" s="44" t="n">
        <f aca="false">D17*$B$7</f>
        <v>0.152862562</v>
      </c>
      <c r="H17" s="44" t="n">
        <f aca="false">'Indicadores (F-W)'!X18/100</f>
        <v>0.1677</v>
      </c>
      <c r="I17" s="44" t="n">
        <f aca="false">SUM(E17:H17)</f>
        <v>1.0000173297</v>
      </c>
      <c r="J17" s="45" t="n">
        <f aca="false">0.5*(ABS(E17-$B$5)+ABS(F17-$B$6)+ABS(G17-$B$7)+ABS(H17-$B$8))</f>
        <v>0.19551160285</v>
      </c>
      <c r="K17" s="46" t="n">
        <f aca="false">RANK(J17,$J$12:$J$24,0)</f>
        <v>12</v>
      </c>
      <c r="L17" s="45" t="n">
        <f aca="false">SUMSQ(E17:H17)</f>
        <v>0.334282739254162</v>
      </c>
      <c r="M17" s="45" t="n">
        <f aca="false">1-(L17-0.25)/0.75</f>
        <v>0.887623014327785</v>
      </c>
      <c r="N17" s="46" t="n">
        <f aca="false">RANK(M17,$M$12:$M$24,0)</f>
        <v>7</v>
      </c>
      <c r="O17" s="36" t="str">
        <f aca="false">INDEX($E$11:$H$11,MATCH(MAX(E17:H17),E17:H17,0))</f>
        <v>Agropecuária</v>
      </c>
      <c r="P17" s="44" t="n">
        <f aca="false">MAX(E17:H17)</f>
        <v>0.500915311</v>
      </c>
      <c r="Q17" s="46" t="n">
        <f aca="false">RANK(B17,$B$12:$B$24,0)</f>
        <v>5</v>
      </c>
      <c r="R17" s="46" t="n">
        <f aca="false">RANK(C17,$C$12:$C$24,0)</f>
        <v>6</v>
      </c>
      <c r="S17" s="46" t="n">
        <f aca="false">RANK(D17,$D$12:$D$24,0)</f>
        <v>9</v>
      </c>
      <c r="V17" s="1" t="n">
        <f aca="false">B17-ROW()*0.000000001</f>
        <v>1.318999983</v>
      </c>
      <c r="W17" s="1" t="n">
        <f aca="false">C17-ROW()*0.000000001</f>
        <v>1.167099983</v>
      </c>
      <c r="X17" s="1" t="n">
        <f aca="false">D17-ROW()*0.000000001</f>
        <v>0.438799983</v>
      </c>
      <c r="Y17" s="1" t="n">
        <f aca="false">J17-ROW()*0.000000001</f>
        <v>0.19551158585</v>
      </c>
      <c r="Z17" s="1" t="n">
        <f aca="false">M17-ROW()*0.000000001</f>
        <v>0.887622997327785</v>
      </c>
    </row>
    <row r="18" customFormat="false" ht="15" hidden="false" customHeight="true" outlineLevel="0" collapsed="false">
      <c r="A18" s="35" t="s">
        <v>51</v>
      </c>
      <c r="B18" s="43" t="n">
        <f aca="false">'Indicadores (F-W)'!Z6</f>
        <v>1.364</v>
      </c>
      <c r="C18" s="43" t="n">
        <f aca="false">'Indicadores (F-W)'!Z11</f>
        <v>1.1956</v>
      </c>
      <c r="D18" s="43" t="n">
        <f aca="false">'Indicadores (F-W)'!Z14</f>
        <v>0.3227</v>
      </c>
      <c r="E18" s="44" t="n">
        <f aca="false">B18*$B$5</f>
        <v>0.518004916</v>
      </c>
      <c r="F18" s="44" t="n">
        <f aca="false">C18*$B$6</f>
        <v>0.1828993012</v>
      </c>
      <c r="G18" s="44" t="n">
        <f aca="false">D18*$B$7</f>
        <v>0.1124173855</v>
      </c>
      <c r="H18" s="44" t="n">
        <f aca="false">'Indicadores (F-W)'!Z18/100</f>
        <v>0.1867</v>
      </c>
      <c r="I18" s="44" t="n">
        <f aca="false">SUM(E18:H18)</f>
        <v>1.0000216027</v>
      </c>
      <c r="J18" s="45" t="n">
        <f aca="false">0.5*(ABS(E18-$B$5)+ABS(F18-$B$6)+ABS(G18-$B$7)+ABS(H18-$B$8))</f>
        <v>0.23595891585</v>
      </c>
      <c r="K18" s="46" t="n">
        <f aca="false">RANK(J18,$J$12:$J$24,0)</f>
        <v>10</v>
      </c>
      <c r="L18" s="45" t="n">
        <f aca="false">SUMSQ(E18:H18)</f>
        <v>0.349275805942271</v>
      </c>
      <c r="M18" s="45" t="n">
        <f aca="false">1-(L18-0.25)/0.75</f>
        <v>0.867632258743639</v>
      </c>
      <c r="N18" s="46" t="n">
        <f aca="false">RANK(M18,$M$12:$M$24,0)</f>
        <v>8</v>
      </c>
      <c r="O18" s="36" t="str">
        <f aca="false">INDEX($E$11:$H$11,MATCH(MAX(E18:H18),E18:H18,0))</f>
        <v>Agropecuária</v>
      </c>
      <c r="P18" s="44" t="n">
        <f aca="false">MAX(E18:H18)</f>
        <v>0.518004916</v>
      </c>
      <c r="Q18" s="46" t="n">
        <f aca="false">RANK(B18,$B$12:$B$24,0)</f>
        <v>4</v>
      </c>
      <c r="R18" s="46" t="n">
        <f aca="false">RANK(C18,$C$12:$C$24,0)</f>
        <v>5</v>
      </c>
      <c r="S18" s="46" t="n">
        <f aca="false">RANK(D18,$D$12:$D$24,0)</f>
        <v>13</v>
      </c>
      <c r="V18" s="1" t="n">
        <f aca="false">B18-ROW()*0.000000001</f>
        <v>1.363999982</v>
      </c>
      <c r="W18" s="1" t="n">
        <f aca="false">C18-ROW()*0.000000001</f>
        <v>1.195599982</v>
      </c>
      <c r="X18" s="1" t="n">
        <f aca="false">D18-ROW()*0.000000001</f>
        <v>0.322699982</v>
      </c>
      <c r="Y18" s="1" t="n">
        <f aca="false">J18-ROW()*0.000000001</f>
        <v>0.23595889785</v>
      </c>
      <c r="Z18" s="1" t="n">
        <f aca="false">M18-ROW()*0.000000001</f>
        <v>0.867632240743639</v>
      </c>
    </row>
    <row r="19" customFormat="false" ht="15" hidden="false" customHeight="true" outlineLevel="0" collapsed="false">
      <c r="A19" s="35" t="s">
        <v>52</v>
      </c>
      <c r="B19" s="43" t="n">
        <f aca="false">'Indicadores (F-W)'!AB6</f>
        <v>0.416</v>
      </c>
      <c r="C19" s="43" t="n">
        <f aca="false">'Indicadores (F-W)'!AB11</f>
        <v>1.2112</v>
      </c>
      <c r="D19" s="43" t="n">
        <f aca="false">'Indicadores (F-W)'!AB14</f>
        <v>1.1498</v>
      </c>
      <c r="E19" s="44" t="n">
        <f aca="false">B19*$B$5</f>
        <v>0.157983904</v>
      </c>
      <c r="F19" s="44" t="n">
        <f aca="false">C19*$B$6</f>
        <v>0.1852857424</v>
      </c>
      <c r="G19" s="44" t="n">
        <f aca="false">D19*$B$7</f>
        <v>0.400550077</v>
      </c>
      <c r="H19" s="44" t="n">
        <f aca="false">'Indicadores (F-W)'!AB18/100</f>
        <v>0.2562</v>
      </c>
      <c r="I19" s="44" t="n">
        <f aca="false">SUM(E19:H19)</f>
        <v>1.0000197234</v>
      </c>
      <c r="J19" s="45" t="n">
        <f aca="false">0.5*(ABS(E19-$B$5)+ABS(F19-$B$6)+ABS(G19-$B$7)+ABS(H19-$B$8))</f>
        <v>0.2217954577</v>
      </c>
      <c r="K19" s="46" t="n">
        <f aca="false">RANK(J19,$J$12:$J$24,0)</f>
        <v>11</v>
      </c>
      <c r="L19" s="45" t="n">
        <f aca="false">SUMSQ(E19:H19)</f>
        <v>0.285368524444506</v>
      </c>
      <c r="M19" s="45" t="n">
        <f aca="false">1-(L19-0.25)/0.75</f>
        <v>0.952841967407325</v>
      </c>
      <c r="N19" s="46" t="n">
        <f aca="false">RANK(M19,$M$12:$M$24,0)</f>
        <v>3</v>
      </c>
      <c r="O19" s="36" t="str">
        <f aca="false">INDEX($E$11:$H$11,MATCH(MAX(E19:H19),E19:H19,0))</f>
        <v>Serviços</v>
      </c>
      <c r="P19" s="44" t="n">
        <f aca="false">MAX(E19:H19)</f>
        <v>0.400550077</v>
      </c>
      <c r="Q19" s="46" t="n">
        <f aca="false">RANK(B19,$B$12:$B$24,0)</f>
        <v>11</v>
      </c>
      <c r="R19" s="46" t="n">
        <f aca="false">RANK(C19,$C$12:$C$24,0)</f>
        <v>4</v>
      </c>
      <c r="S19" s="46" t="n">
        <f aca="false">RANK(D19,$D$12:$D$24,0)</f>
        <v>3</v>
      </c>
      <c r="V19" s="1" t="n">
        <f aca="false">B19-ROW()*0.000000001</f>
        <v>0.415999981</v>
      </c>
      <c r="W19" s="1" t="n">
        <f aca="false">C19-ROW()*0.000000001</f>
        <v>1.211199981</v>
      </c>
      <c r="X19" s="1" t="n">
        <f aca="false">D19-ROW()*0.000000001</f>
        <v>1.149799981</v>
      </c>
      <c r="Y19" s="1" t="n">
        <f aca="false">J19-ROW()*0.000000001</f>
        <v>0.2217954387</v>
      </c>
      <c r="Z19" s="1" t="n">
        <f aca="false">M19-ROW()*0.000000001</f>
        <v>0.952841948407325</v>
      </c>
    </row>
    <row r="20" customFormat="false" ht="23.25" hidden="false" customHeight="true" outlineLevel="0" collapsed="false">
      <c r="A20" s="35" t="s">
        <v>53</v>
      </c>
      <c r="B20" s="43" t="n">
        <f aca="false">'Indicadores (F-W)'!AD6</f>
        <v>0.5183</v>
      </c>
      <c r="C20" s="43" t="n">
        <f aca="false">'Indicadores (F-W)'!AD11</f>
        <v>2.0033</v>
      </c>
      <c r="D20" s="43" t="n">
        <f aca="false">'Indicadores (F-W)'!AD14</f>
        <v>0.7089</v>
      </c>
      <c r="E20" s="44" t="n">
        <f aca="false">B20*$B$5</f>
        <v>0.1968342727</v>
      </c>
      <c r="F20" s="44" t="n">
        <f aca="false">C20*$B$6</f>
        <v>0.3064588241</v>
      </c>
      <c r="G20" s="44" t="n">
        <f aca="false">D20*$B$7</f>
        <v>0.2469559485</v>
      </c>
      <c r="H20" s="44" t="n">
        <f aca="false">'Indicadores (F-W)'!AD18/100</f>
        <v>0.2497</v>
      </c>
      <c r="I20" s="44" t="n">
        <f aca="false">SUM(E20:H20)</f>
        <v>0.9999490453</v>
      </c>
      <c r="J20" s="45" t="n">
        <f aca="false">0.5*(ABS(E20-$B$5)+ABS(F20-$B$6)+ABS(G20-$B$7)+ABS(H20-$B$8))</f>
        <v>0.28431880145</v>
      </c>
      <c r="K20" s="46" t="n">
        <f aca="false">RANK(J20,$J$12:$J$24,0)</f>
        <v>6</v>
      </c>
      <c r="L20" s="45" t="n">
        <f aca="false">SUMSQ(E20:H20)</f>
        <v>0.255998072277627</v>
      </c>
      <c r="M20" s="45" t="n">
        <f aca="false">1-(L20-0.25)/0.75</f>
        <v>0.992002570296497</v>
      </c>
      <c r="N20" s="46" t="n">
        <f aca="false">RANK(M20,$M$12:$M$24,0)</f>
        <v>1</v>
      </c>
      <c r="O20" s="36" t="str">
        <f aca="false">INDEX($E$11:$H$11,MATCH(MAX(E20:H20),E20:H20,0))</f>
        <v>Indústria</v>
      </c>
      <c r="P20" s="44" t="n">
        <f aca="false">MAX(E20:H20)</f>
        <v>0.3064588241</v>
      </c>
      <c r="Q20" s="46" t="n">
        <f aca="false">RANK(B20,$B$12:$B$24,0)</f>
        <v>9</v>
      </c>
      <c r="R20" s="46" t="n">
        <f aca="false">RANK(C20,$C$12:$C$24,0)</f>
        <v>1</v>
      </c>
      <c r="S20" s="46" t="n">
        <f aca="false">RANK(D20,$D$12:$D$24,0)</f>
        <v>5</v>
      </c>
      <c r="V20" s="1" t="n">
        <f aca="false">B20-ROW()*0.000000001</f>
        <v>0.51829998</v>
      </c>
      <c r="W20" s="1" t="n">
        <f aca="false">C20-ROW()*0.000000001</f>
        <v>2.00329998</v>
      </c>
      <c r="X20" s="1" t="n">
        <f aca="false">D20-ROW()*0.000000001</f>
        <v>0.70889998</v>
      </c>
      <c r="Y20" s="1" t="n">
        <f aca="false">J20-ROW()*0.000000001</f>
        <v>0.28431878145</v>
      </c>
      <c r="Z20" s="1" t="n">
        <f aca="false">M20-ROW()*0.000000001</f>
        <v>0.992002550296497</v>
      </c>
    </row>
    <row r="21" customFormat="false" ht="15" hidden="false" customHeight="true" outlineLevel="0" collapsed="false">
      <c r="A21" s="35" t="s">
        <v>54</v>
      </c>
      <c r="B21" s="43" t="n">
        <f aca="false">'Indicadores (F-W)'!AF6</f>
        <v>0.5066</v>
      </c>
      <c r="C21" s="43" t="n">
        <f aca="false">'Indicadores (F-W)'!AF11</f>
        <v>0.5947</v>
      </c>
      <c r="D21" s="43" t="n">
        <f aca="false">'Indicadores (F-W)'!AF14</f>
        <v>1.1034</v>
      </c>
      <c r="E21" s="44" t="n">
        <f aca="false">B21*$B$5</f>
        <v>0.1923909754</v>
      </c>
      <c r="F21" s="44" t="n">
        <f aca="false">C21*$B$6</f>
        <v>0.0909754219</v>
      </c>
      <c r="G21" s="44" t="n">
        <f aca="false">D21*$B$7</f>
        <v>0.384385941</v>
      </c>
      <c r="H21" s="44" t="n">
        <f aca="false">'Indicadores (F-W)'!AF18/100</f>
        <v>0.3323</v>
      </c>
      <c r="I21" s="44" t="n">
        <f aca="false">SUM(E21:H21)</f>
        <v>1.0000523383</v>
      </c>
      <c r="J21" s="45" t="n">
        <f aca="false">0.5*(ABS(E21-$B$5)+ABS(F21-$B$6)+ABS(G21-$B$7)+ABS(H21-$B$8))</f>
        <v>0.24940627185</v>
      </c>
      <c r="K21" s="46" t="n">
        <f aca="false">RANK(J21,$J$12:$J$24,0)</f>
        <v>9</v>
      </c>
      <c r="L21" s="45" t="n">
        <f aca="false">SUMSQ(E21:H21)</f>
        <v>0.303466656443702</v>
      </c>
      <c r="M21" s="45" t="n">
        <f aca="false">1-(L21-0.25)/0.75</f>
        <v>0.928711124741731</v>
      </c>
      <c r="N21" s="46" t="n">
        <f aca="false">RANK(M21,$M$12:$M$24,0)</f>
        <v>4</v>
      </c>
      <c r="O21" s="36" t="str">
        <f aca="false">INDEX($E$11:$H$11,MATCH(MAX(E21:H21),E21:H21,0))</f>
        <v>Serviços</v>
      </c>
      <c r="P21" s="44" t="n">
        <f aca="false">MAX(E21:H21)</f>
        <v>0.384385941</v>
      </c>
      <c r="Q21" s="46" t="n">
        <f aca="false">RANK(B21,$B$12:$B$24,0)</f>
        <v>10</v>
      </c>
      <c r="R21" s="46" t="n">
        <f aca="false">RANK(C21,$C$12:$C$24,0)</f>
        <v>9</v>
      </c>
      <c r="S21" s="46" t="n">
        <f aca="false">RANK(D21,$D$12:$D$24,0)</f>
        <v>4</v>
      </c>
      <c r="V21" s="1" t="n">
        <f aca="false">B21-ROW()*0.000000001</f>
        <v>0.506599979</v>
      </c>
      <c r="W21" s="1" t="n">
        <f aca="false">C21-ROW()*0.000000001</f>
        <v>0.594699979</v>
      </c>
      <c r="X21" s="1" t="n">
        <f aca="false">D21-ROW()*0.000000001</f>
        <v>1.103399979</v>
      </c>
      <c r="Y21" s="1" t="n">
        <f aca="false">J21-ROW()*0.000000001</f>
        <v>0.24940625085</v>
      </c>
      <c r="Z21" s="1" t="n">
        <f aca="false">M21-ROW()*0.000000001</f>
        <v>0.928711103741731</v>
      </c>
    </row>
    <row r="22" customFormat="false" ht="15" hidden="false" customHeight="true" outlineLevel="0" collapsed="false">
      <c r="A22" s="35" t="s">
        <v>55</v>
      </c>
      <c r="B22" s="43" t="n">
        <f aca="false">'Indicadores (F-W)'!AH6</f>
        <v>1.0048</v>
      </c>
      <c r="C22" s="43" t="n">
        <f aca="false">'Indicadores (F-W)'!AH11</f>
        <v>1.0107</v>
      </c>
      <c r="D22" s="43" t="n">
        <f aca="false">'Indicadores (F-W)'!AH14</f>
        <v>0.505</v>
      </c>
      <c r="E22" s="44" t="n">
        <f aca="false">B22*$B$5</f>
        <v>0.3815918912</v>
      </c>
      <c r="F22" s="44" t="n">
        <f aca="false">C22*$B$6</f>
        <v>0.1546138539</v>
      </c>
      <c r="G22" s="44" t="n">
        <f aca="false">D22*$B$7</f>
        <v>0.175924325</v>
      </c>
      <c r="H22" s="44" t="n">
        <f aca="false">'Indicadores (F-W)'!AH18/100</f>
        <v>0.2879</v>
      </c>
      <c r="I22" s="44" t="n">
        <f aca="false">SUM(E22:H22)</f>
        <v>1.0000300701</v>
      </c>
      <c r="J22" s="45" t="n">
        <f aca="false">0.5*(ABS(E22-$B$5)+ABS(F22-$B$6)+ABS(G22-$B$7)+ABS(H22-$B$8))</f>
        <v>0.17245621005</v>
      </c>
      <c r="K22" s="46" t="n">
        <f aca="false">RANK(J22,$J$12:$J$24,0)</f>
        <v>13</v>
      </c>
      <c r="L22" s="45" t="n">
        <f aca="false">SUMSQ(E22:H22)</f>
        <v>0.283353593374109</v>
      </c>
      <c r="M22" s="45" t="n">
        <f aca="false">1-(L22-0.25)/0.75</f>
        <v>0.955528542167855</v>
      </c>
      <c r="N22" s="46" t="n">
        <f aca="false">RANK(M22,$M$12:$M$24,0)</f>
        <v>2</v>
      </c>
      <c r="O22" s="36" t="str">
        <f aca="false">INDEX($E$11:$H$11,MATCH(MAX(E22:H22),E22:H22,0))</f>
        <v>Agropecuária</v>
      </c>
      <c r="P22" s="44" t="n">
        <f aca="false">MAX(E22:H22)</f>
        <v>0.3815918912</v>
      </c>
      <c r="Q22" s="46" t="n">
        <f aca="false">RANK(B22,$B$12:$B$24,0)</f>
        <v>7</v>
      </c>
      <c r="R22" s="46" t="n">
        <f aca="false">RANK(C22,$C$12:$C$24,0)</f>
        <v>7</v>
      </c>
      <c r="S22" s="46" t="n">
        <f aca="false">RANK(D22,$D$12:$D$24,0)</f>
        <v>6</v>
      </c>
      <c r="V22" s="1" t="n">
        <f aca="false">B22-ROW()*0.000000001</f>
        <v>1.004799978</v>
      </c>
      <c r="W22" s="1" t="n">
        <f aca="false">C22-ROW()*0.000000001</f>
        <v>1.010699978</v>
      </c>
      <c r="X22" s="1" t="n">
        <f aca="false">D22-ROW()*0.000000001</f>
        <v>0.504999978</v>
      </c>
      <c r="Y22" s="1" t="n">
        <f aca="false">J22-ROW()*0.000000001</f>
        <v>0.17245618805</v>
      </c>
      <c r="Z22" s="1" t="n">
        <f aca="false">M22-ROW()*0.000000001</f>
        <v>0.955528520167855</v>
      </c>
    </row>
    <row r="23" customFormat="false" ht="15" hidden="false" customHeight="true" outlineLevel="0" collapsed="false">
      <c r="A23" s="35" t="s">
        <v>56</v>
      </c>
      <c r="B23" s="43" t="n">
        <f aca="false">'Indicadores (F-W)'!AJ6</f>
        <v>0.1067</v>
      </c>
      <c r="C23" s="43" t="n">
        <f aca="false">'Indicadores (F-W)'!AJ11</f>
        <v>1.8691</v>
      </c>
      <c r="D23" s="43" t="n">
        <f aca="false">'Indicadores (F-W)'!AJ14</f>
        <v>1.5988</v>
      </c>
      <c r="E23" s="44" t="n">
        <f aca="false">B23*$B$5</f>
        <v>0.0405213523</v>
      </c>
      <c r="F23" s="44" t="n">
        <f aca="false">C23*$B$6</f>
        <v>0.2859293107</v>
      </c>
      <c r="G23" s="44" t="n">
        <f aca="false">D23*$B$7</f>
        <v>0.556965962</v>
      </c>
      <c r="H23" s="44" t="n">
        <f aca="false">'Indicadores (F-W)'!AJ18/100</f>
        <v>0.1166</v>
      </c>
      <c r="I23" s="44" t="n">
        <f aca="false">SUM(E23:H23)</f>
        <v>1.000016625</v>
      </c>
      <c r="J23" s="45" t="n">
        <f aca="false">0.5*(ABS(E23-$B$5)+ABS(F23-$B$6)+ABS(G23-$B$7)+ABS(H23-$B$8))</f>
        <v>0.3415444602</v>
      </c>
      <c r="K23" s="46" t="n">
        <f aca="false">RANK(J23,$J$12:$J$24,0)</f>
        <v>1</v>
      </c>
      <c r="L23" s="45" t="n">
        <f aca="false">SUMSQ(E23:H23)</f>
        <v>0.407204193536183</v>
      </c>
      <c r="M23" s="45" t="n">
        <f aca="false">1-(L23-0.25)/0.75</f>
        <v>0.790394408618422</v>
      </c>
      <c r="N23" s="46" t="n">
        <f aca="false">RANK(M23,$M$12:$M$24,0)</f>
        <v>11</v>
      </c>
      <c r="O23" s="36" t="str">
        <f aca="false">INDEX($E$11:$H$11,MATCH(MAX(E23:H23),E23:H23,0))</f>
        <v>Serviços</v>
      </c>
      <c r="P23" s="44" t="n">
        <f aca="false">MAX(E23:H23)</f>
        <v>0.556965962</v>
      </c>
      <c r="Q23" s="46" t="n">
        <f aca="false">RANK(B23,$B$12:$B$24,0)</f>
        <v>13</v>
      </c>
      <c r="R23" s="46" t="n">
        <f aca="false">RANK(C23,$C$12:$C$24,0)</f>
        <v>2</v>
      </c>
      <c r="S23" s="46" t="n">
        <f aca="false">RANK(D23,$D$12:$D$24,0)</f>
        <v>1</v>
      </c>
      <c r="V23" s="1" t="n">
        <f aca="false">B23-ROW()*0.000000001</f>
        <v>0.106699977</v>
      </c>
      <c r="W23" s="1" t="n">
        <f aca="false">C23-ROW()*0.000000001</f>
        <v>1.869099977</v>
      </c>
      <c r="X23" s="1" t="n">
        <f aca="false">D23-ROW()*0.000000001</f>
        <v>1.598799977</v>
      </c>
      <c r="Y23" s="1" t="n">
        <f aca="false">J23-ROW()*0.000000001</f>
        <v>0.3415444372</v>
      </c>
      <c r="Z23" s="1" t="n">
        <f aca="false">M23-ROW()*0.000000001</f>
        <v>0.790394385618422</v>
      </c>
    </row>
    <row r="24" customFormat="false" ht="15" hidden="false" customHeight="true" outlineLevel="0" collapsed="false">
      <c r="A24" s="35" t="s">
        <v>57</v>
      </c>
      <c r="B24" s="43" t="n">
        <f aca="false">'Indicadores (F-W)'!AL6</f>
        <v>1.714</v>
      </c>
      <c r="C24" s="43" t="n">
        <f aca="false">'Indicadores (F-W)'!AL11</f>
        <v>0.4719</v>
      </c>
      <c r="D24" s="43" t="n">
        <f aca="false">'Indicadores (F-W)'!AL14</f>
        <v>0.3417</v>
      </c>
      <c r="E24" s="44" t="n">
        <f aca="false">B24*$B$5</f>
        <v>0.650924066</v>
      </c>
      <c r="F24" s="44" t="n">
        <f aca="false">C24*$B$6</f>
        <v>0.0721898463</v>
      </c>
      <c r="G24" s="44" t="n">
        <f aca="false">D24*$B$7</f>
        <v>0.1190363205</v>
      </c>
      <c r="H24" s="44" t="n">
        <f aca="false">'Indicadores (F-W)'!AL18/100</f>
        <v>0.1578</v>
      </c>
      <c r="I24" s="44" t="n">
        <f aca="false">SUM(E24:H24)</f>
        <v>0.9999502328</v>
      </c>
      <c r="J24" s="45" t="n">
        <f aca="false">0.5*(ABS(E24-$B$5)+ABS(F24-$B$6)+ABS(G24-$B$7)+ABS(H24-$B$8))</f>
        <v>0.3100914496</v>
      </c>
      <c r="K24" s="46" t="n">
        <f aca="false">RANK(J24,$J$12:$J$24,0)</f>
        <v>3</v>
      </c>
      <c r="L24" s="45" t="n">
        <f aca="false">SUMSQ(E24:H24)</f>
        <v>0.467983999204969</v>
      </c>
      <c r="M24" s="45" t="n">
        <f aca="false">1-(L24-0.25)/0.75</f>
        <v>0.709354667726708</v>
      </c>
      <c r="N24" s="46" t="n">
        <f aca="false">RANK(M24,$M$12:$M$24,0)</f>
        <v>13</v>
      </c>
      <c r="O24" s="36" t="str">
        <f aca="false">INDEX($E$11:$H$11,MATCH(MAX(E24:H24),E24:H24,0))</f>
        <v>Agropecuária</v>
      </c>
      <c r="P24" s="44" t="n">
        <f aca="false">MAX(E24:H24)</f>
        <v>0.650924066</v>
      </c>
      <c r="Q24" s="46" t="n">
        <f aca="false">RANK(B24,$B$12:$B$24,0)</f>
        <v>1</v>
      </c>
      <c r="R24" s="46" t="n">
        <f aca="false">RANK(C24,$C$12:$C$24,0)</f>
        <v>10</v>
      </c>
      <c r="S24" s="46" t="n">
        <f aca="false">RANK(D24,$D$12:$D$24,0)</f>
        <v>12</v>
      </c>
      <c r="V24" s="1" t="n">
        <f aca="false">B24-ROW()*0.000000001</f>
        <v>1.713999976</v>
      </c>
      <c r="W24" s="1" t="n">
        <f aca="false">C24-ROW()*0.000000001</f>
        <v>0.471899976</v>
      </c>
      <c r="X24" s="1" t="n">
        <f aca="false">D24-ROW()*0.000000001</f>
        <v>0.341699976</v>
      </c>
      <c r="Y24" s="1" t="n">
        <f aca="false">J24-ROW()*0.000000001</f>
        <v>0.3100914256</v>
      </c>
      <c r="Z24" s="1" t="n">
        <f aca="false">M24-ROW()*0.000000001</f>
        <v>0.709354643726708</v>
      </c>
    </row>
    <row r="27" customFormat="false" ht="15" hidden="false" customHeight="true" outlineLevel="0" collapsed="false">
      <c r="A27" s="47" t="s">
        <v>96</v>
      </c>
    </row>
    <row r="28" customFormat="false" ht="15" hidden="false" customHeight="true" outlineLevel="0" collapsed="false">
      <c r="A28" s="48" t="s">
        <v>97</v>
      </c>
      <c r="B28" s="48"/>
      <c r="C28" s="48"/>
      <c r="D28" s="48"/>
      <c r="F28" s="48" t="s">
        <v>98</v>
      </c>
      <c r="G28" s="48"/>
      <c r="H28" s="48"/>
      <c r="I28" s="48"/>
      <c r="K28" s="48" t="s">
        <v>99</v>
      </c>
      <c r="L28" s="48"/>
      <c r="M28" s="48"/>
      <c r="N28" s="48"/>
    </row>
    <row r="29" customFormat="false" ht="23.25" hidden="false" customHeight="true" outlineLevel="0" collapsed="false">
      <c r="A29" s="34" t="s">
        <v>100</v>
      </c>
      <c r="B29" s="34" t="s">
        <v>37</v>
      </c>
      <c r="C29" s="34" t="s">
        <v>101</v>
      </c>
      <c r="D29" s="34" t="s">
        <v>102</v>
      </c>
      <c r="F29" s="34" t="s">
        <v>100</v>
      </c>
      <c r="G29" s="34" t="s">
        <v>37</v>
      </c>
      <c r="H29" s="34" t="s">
        <v>101</v>
      </c>
      <c r="I29" s="34" t="s">
        <v>102</v>
      </c>
      <c r="K29" s="34" t="s">
        <v>100</v>
      </c>
      <c r="L29" s="34" t="s">
        <v>37</v>
      </c>
      <c r="M29" s="34" t="s">
        <v>101</v>
      </c>
      <c r="N29" s="34" t="s">
        <v>102</v>
      </c>
    </row>
    <row r="30" customFormat="false" ht="34.5" hidden="false" customHeight="true" outlineLevel="0" collapsed="false">
      <c r="A30" s="46" t="n">
        <v>1</v>
      </c>
      <c r="B30" s="38" t="str">
        <f aca="false">INDEX($A$12:$A$24,MATCH(LARGE($V$12:$V$24,1),$V$12:$V$24,0))</f>
        <v>Santo Antônio do Leverger</v>
      </c>
      <c r="C30" s="43" t="n">
        <f aca="false">INDEX($B$12:$B$24,MATCH(LARGE($V$12:$V$24,1),$V$12:$V$24,0))</f>
        <v>1.714</v>
      </c>
      <c r="D30" s="49" t="str">
        <f aca="false">IF(C30&gt;'Indicadores (F-W)'!$M$6,"Especializado",IF(C30&lt;'Indicadores (F-W)'!$L$6,"Sub-representado","Intermediário"))</f>
        <v>Especializado</v>
      </c>
      <c r="F30" s="46" t="n">
        <v>1</v>
      </c>
      <c r="G30" s="38" t="str">
        <f aca="false">INDEX($A$12:$A$24,MATCH(LARGE($W$12:$W$24,1),$W$12:$W$24,0))</f>
        <v>Nossa Senhora do Livramento</v>
      </c>
      <c r="H30" s="43" t="n">
        <f aca="false">INDEX($C$12:$C$24,MATCH(LARGE($W$12:$W$24,1),$W$12:$W$24,0))</f>
        <v>2.0033</v>
      </c>
      <c r="I30" s="49" t="str">
        <f aca="false">IF(H30&gt;'Indicadores (F-W)'!$M$11,"Especializado",IF(H30&lt;'Indicadores (F-W)'!$L$11,"Sub-representado","Intermediário"))</f>
        <v>Especializado</v>
      </c>
      <c r="K30" s="46" t="n">
        <v>1</v>
      </c>
      <c r="L30" s="38" t="str">
        <f aca="false">INDEX($A$12:$A$24,MATCH(LARGE($X$12:$X$24,1),$X$12:$X$24,0))</f>
        <v>Rondonópolis</v>
      </c>
      <c r="M30" s="43" t="n">
        <f aca="false">INDEX($D$12:$D$24,MATCH(LARGE($X$12:$X$24,1),$X$12:$X$24,0))</f>
        <v>1.5988</v>
      </c>
      <c r="N30" s="49" t="str">
        <f aca="false">IF(M30&gt;'Indicadores (F-W)'!$M$14,"Especializado",IF(M30&lt;'Indicadores (F-W)'!$L$14,"Sub-representado","Intermediário"))</f>
        <v>Especializado</v>
      </c>
    </row>
    <row r="31" customFormat="false" ht="23.25" hidden="false" customHeight="true" outlineLevel="0" collapsed="false">
      <c r="A31" s="46" t="n">
        <v>2</v>
      </c>
      <c r="B31" s="38" t="str">
        <f aca="false">INDEX($A$12:$A$24,MATCH(LARGE($V$12:$V$24,2),$V$12:$V$24,0))</f>
        <v>Itiquira</v>
      </c>
      <c r="C31" s="43" t="n">
        <f aca="false">INDEX($B$12:$B$24,MATCH(LARGE($V$12:$V$24,2),$V$12:$V$24,0))</f>
        <v>1.6266</v>
      </c>
      <c r="D31" s="49" t="str">
        <f aca="false">IF(C31&gt;'Indicadores (F-W)'!$M$6,"Especializado",IF(C31&lt;'Indicadores (F-W)'!$L$6,"Sub-representado","Intermediário"))</f>
        <v>Especializado</v>
      </c>
      <c r="F31" s="46" t="n">
        <v>2</v>
      </c>
      <c r="G31" s="38" t="str">
        <f aca="false">INDEX($A$12:$A$24,MATCH(LARGE($W$12:$W$24,2),$W$12:$W$24,0))</f>
        <v>Rondonópolis</v>
      </c>
      <c r="H31" s="43" t="n">
        <f aca="false">INDEX($C$12:$C$24,MATCH(LARGE($W$12:$W$24,2),$W$12:$W$24,0))</f>
        <v>1.8691</v>
      </c>
      <c r="I31" s="49" t="str">
        <f aca="false">IF(H31&gt;'Indicadores (F-W)'!$M$11,"Especializado",IF(H31&lt;'Indicadores (F-W)'!$L$11,"Sub-representado","Intermediário"))</f>
        <v>Especializado</v>
      </c>
      <c r="K31" s="46" t="n">
        <v>2</v>
      </c>
      <c r="L31" s="38" t="str">
        <f aca="false">INDEX($A$12:$A$24,MATCH(LARGE($X$12:$X$24,2),$X$12:$X$24,0))</f>
        <v>Cáceres</v>
      </c>
      <c r="M31" s="43" t="n">
        <f aca="false">INDEX($D$12:$D$24,MATCH(LARGE($X$12:$X$24,2),$X$12:$X$24,0))</f>
        <v>1.3013</v>
      </c>
      <c r="N31" s="49" t="str">
        <f aca="false">IF(M31&gt;'Indicadores (F-W)'!$M$14,"Especializado",IF(M31&lt;'Indicadores (F-W)'!$L$14,"Sub-representado","Intermediário"))</f>
        <v>Especializado</v>
      </c>
    </row>
    <row r="32" customFormat="false" ht="23.25" hidden="false" customHeight="true" outlineLevel="0" collapsed="false">
      <c r="A32" s="46" t="n">
        <v>3</v>
      </c>
      <c r="B32" s="38" t="str">
        <f aca="false">INDEX($A$12:$A$24,MATCH(LARGE($V$12:$V$24,3),$V$12:$V$24,0))</f>
        <v>Glória D'Oeste</v>
      </c>
      <c r="C32" s="43" t="n">
        <f aca="false">INDEX($B$12:$B$24,MATCH(LARGE($V$12:$V$24,3),$V$12:$V$24,0))</f>
        <v>1.3866</v>
      </c>
      <c r="D32" s="49" t="str">
        <f aca="false">IF(C32&gt;'Indicadores (F-W)'!$M$6,"Especializado",IF(C32&lt;'Indicadores (F-W)'!$L$6,"Sub-representado","Intermediário"))</f>
        <v>Especializado</v>
      </c>
      <c r="F32" s="46" t="n">
        <v>3</v>
      </c>
      <c r="G32" s="38" t="str">
        <f aca="false">INDEX($A$12:$A$24,MATCH(LARGE($W$12:$W$24,3),$W$12:$W$24,0))</f>
        <v>Itiquira</v>
      </c>
      <c r="H32" s="43" t="n">
        <f aca="false">INDEX($C$12:$C$24,MATCH(LARGE($W$12:$W$24,3),$W$12:$W$24,0))</f>
        <v>1.2891</v>
      </c>
      <c r="I32" s="49" t="str">
        <f aca="false">IF(H32&gt;'Indicadores (F-W)'!$M$11,"Especializado",IF(H32&lt;'Indicadores (F-W)'!$L$11,"Sub-representado","Intermediário"))</f>
        <v>Especializado</v>
      </c>
      <c r="K32" s="46" t="n">
        <v>3</v>
      </c>
      <c r="L32" s="38" t="str">
        <f aca="false">INDEX($A$12:$A$24,MATCH(LARGE($X$12:$X$24,3),$X$12:$X$24,0))</f>
        <v>Mirassol D'Oeste</v>
      </c>
      <c r="M32" s="43" t="n">
        <f aca="false">INDEX($D$12:$D$24,MATCH(LARGE($X$12:$X$24,3),$X$12:$X$24,0))</f>
        <v>1.1498</v>
      </c>
      <c r="N32" s="49" t="str">
        <f aca="false">IF(M32&gt;'Indicadores (F-W)'!$M$14,"Especializado",IF(M32&lt;'Indicadores (F-W)'!$L$14,"Sub-representado","Intermediário"))</f>
        <v>Intermediário</v>
      </c>
    </row>
    <row r="33" customFormat="false" ht="23.25" hidden="false" customHeight="true" outlineLevel="0" collapsed="false">
      <c r="A33" s="46" t="n">
        <v>4</v>
      </c>
      <c r="B33" s="38" t="str">
        <f aca="false">INDEX($A$12:$A$24,MATCH(LARGE($V$12:$V$24,4),$V$12:$V$24,0))</f>
        <v>Lambari D'Oeste</v>
      </c>
      <c r="C33" s="43" t="n">
        <f aca="false">INDEX($B$12:$B$24,MATCH(LARGE($V$12:$V$24,4),$V$12:$V$24,0))</f>
        <v>1.364</v>
      </c>
      <c r="D33" s="49" t="str">
        <f aca="false">IF(C33&gt;'Indicadores (F-W)'!$M$6,"Especializado",IF(C33&lt;'Indicadores (F-W)'!$L$6,"Sub-representado","Intermediário"))</f>
        <v>Especializado</v>
      </c>
      <c r="F33" s="46" t="n">
        <v>4</v>
      </c>
      <c r="G33" s="38" t="str">
        <f aca="false">INDEX($A$12:$A$24,MATCH(LARGE($W$12:$W$24,4),$W$12:$W$24,0))</f>
        <v>Mirassol D'Oeste</v>
      </c>
      <c r="H33" s="43" t="n">
        <f aca="false">INDEX($C$12:$C$24,MATCH(LARGE($W$12:$W$24,4),$W$12:$W$24,0))</f>
        <v>1.2112</v>
      </c>
      <c r="I33" s="49" t="str">
        <f aca="false">IF(H33&gt;'Indicadores (F-W)'!$M$11,"Especializado",IF(H33&lt;'Indicadores (F-W)'!$L$11,"Sub-representado","Intermediário"))</f>
        <v>Especializado</v>
      </c>
      <c r="K33" s="46" t="n">
        <v>4</v>
      </c>
      <c r="L33" s="38" t="str">
        <f aca="false">INDEX($A$12:$A$24,MATCH(LARGE($X$12:$X$24,4),$X$12:$X$24,0))</f>
        <v>Poconé</v>
      </c>
      <c r="M33" s="43" t="n">
        <f aca="false">INDEX($D$12:$D$24,MATCH(LARGE($X$12:$X$24,4),$X$12:$X$24,0))</f>
        <v>1.1034</v>
      </c>
      <c r="N33" s="49" t="str">
        <f aca="false">IF(M33&gt;'Indicadores (F-W)'!$M$14,"Especializado",IF(M33&lt;'Indicadores (F-W)'!$L$14,"Sub-representado","Intermediário"))</f>
        <v>Intermediário</v>
      </c>
    </row>
    <row r="34" customFormat="false" ht="34.5" hidden="false" customHeight="true" outlineLevel="0" collapsed="false">
      <c r="A34" s="46" t="n">
        <v>5</v>
      </c>
      <c r="B34" s="38" t="str">
        <f aca="false">INDEX($A$12:$A$24,MATCH(LARGE($V$12:$V$24,5),$V$12:$V$24,0))</f>
        <v>Juscimeira</v>
      </c>
      <c r="C34" s="43" t="n">
        <f aca="false">INDEX($B$12:$B$24,MATCH(LARGE($V$12:$V$24,5),$V$12:$V$24,0))</f>
        <v>1.319</v>
      </c>
      <c r="D34" s="49" t="str">
        <f aca="false">IF(C34&gt;'Indicadores (F-W)'!$M$6,"Especializado",IF(C34&lt;'Indicadores (F-W)'!$L$6,"Sub-representado","Intermediário"))</f>
        <v>Especializado</v>
      </c>
      <c r="F34" s="46" t="n">
        <v>5</v>
      </c>
      <c r="G34" s="38" t="str">
        <f aca="false">INDEX($A$12:$A$24,MATCH(LARGE($W$12:$W$24,5),$W$12:$W$24,0))</f>
        <v>Lambari D'Oeste</v>
      </c>
      <c r="H34" s="43" t="n">
        <f aca="false">INDEX($C$12:$C$24,MATCH(LARGE($W$12:$W$24,5),$W$12:$W$24,0))</f>
        <v>1.1956</v>
      </c>
      <c r="I34" s="49" t="str">
        <f aca="false">IF(H34&gt;'Indicadores (F-W)'!$M$11,"Especializado",IF(H34&lt;'Indicadores (F-W)'!$L$11,"Sub-representado","Intermediário"))</f>
        <v>Intermediário</v>
      </c>
      <c r="K34" s="46" t="n">
        <v>5</v>
      </c>
      <c r="L34" s="38" t="str">
        <f aca="false">INDEX($A$12:$A$24,MATCH(LARGE($X$12:$X$24,5),$X$12:$X$24,0))</f>
        <v>Nossa Senhora do Livramento</v>
      </c>
      <c r="M34" s="43" t="n">
        <f aca="false">INDEX($D$12:$D$24,MATCH(LARGE($X$12:$X$24,5),$X$12:$X$24,0))</f>
        <v>0.7089</v>
      </c>
      <c r="N34" s="49" t="str">
        <f aca="false">IF(M34&gt;'Indicadores (F-W)'!$M$14,"Especializado",IF(M34&lt;'Indicadores (F-W)'!$L$14,"Sub-representado","Intermediário"))</f>
        <v>Sub-representado</v>
      </c>
    </row>
    <row r="35" customFormat="false" ht="34.5" hidden="false" customHeight="true" outlineLevel="0" collapsed="false">
      <c r="A35" s="46" t="n">
        <v>6</v>
      </c>
      <c r="B35" s="38" t="str">
        <f aca="false">INDEX($A$12:$A$24,MATCH(LARGE($V$12:$V$24,6),$V$12:$V$24,0))</f>
        <v>Curvelândia</v>
      </c>
      <c r="C35" s="43" t="n">
        <f aca="false">INDEX($B$12:$B$24,MATCH(LARGE($V$12:$V$24,6),$V$12:$V$24,0))</f>
        <v>1.2022</v>
      </c>
      <c r="D35" s="49" t="str">
        <f aca="false">IF(C35&gt;'Indicadores (F-W)'!$M$6,"Especializado",IF(C35&lt;'Indicadores (F-W)'!$L$6,"Sub-representado","Intermediário"))</f>
        <v>Especializado</v>
      </c>
      <c r="F35" s="46" t="n">
        <v>6</v>
      </c>
      <c r="G35" s="38" t="str">
        <f aca="false">INDEX($A$12:$A$24,MATCH(LARGE($W$12:$W$24,6),$W$12:$W$24,0))</f>
        <v>Juscimeira</v>
      </c>
      <c r="H35" s="43" t="n">
        <f aca="false">INDEX($C$12:$C$24,MATCH(LARGE($W$12:$W$24,6),$W$12:$W$24,0))</f>
        <v>1.1671</v>
      </c>
      <c r="I35" s="49" t="str">
        <f aca="false">IF(H35&gt;'Indicadores (F-W)'!$M$11,"Especializado",IF(H35&lt;'Indicadores (F-W)'!$L$11,"Sub-representado","Intermediário"))</f>
        <v>Intermediário</v>
      </c>
      <c r="K35" s="46" t="n">
        <v>6</v>
      </c>
      <c r="L35" s="38" t="str">
        <f aca="false">INDEX($A$12:$A$24,MATCH(LARGE($X$12:$X$24,6),$X$12:$X$24,0))</f>
        <v>Porto Esperidião</v>
      </c>
      <c r="M35" s="43" t="n">
        <f aca="false">INDEX($D$12:$D$24,MATCH(LARGE($X$12:$X$24,6),$X$12:$X$24,0))</f>
        <v>0.505</v>
      </c>
      <c r="N35" s="49" t="str">
        <f aca="false">IF(M35&gt;'Indicadores (F-W)'!$M$14,"Especializado",IF(M35&lt;'Indicadores (F-W)'!$L$14,"Sub-representado","Intermediário"))</f>
        <v>Sub-representado</v>
      </c>
    </row>
    <row r="36" customFormat="false" ht="34.5" hidden="false" customHeight="true" outlineLevel="0" collapsed="false">
      <c r="A36" s="46" t="n">
        <v>7</v>
      </c>
      <c r="B36" s="38" t="str">
        <f aca="false">INDEX($A$12:$A$24,MATCH(LARGE($V$12:$V$24,7),$V$12:$V$24,0))</f>
        <v>Porto Esperidião</v>
      </c>
      <c r="C36" s="43" t="n">
        <f aca="false">INDEX($B$12:$B$24,MATCH(LARGE($V$12:$V$24,7),$V$12:$V$24,0))</f>
        <v>1.0048</v>
      </c>
      <c r="D36" s="49" t="str">
        <f aca="false">IF(C36&gt;'Indicadores (F-W)'!$M$6,"Especializado",IF(C36&lt;'Indicadores (F-W)'!$L$6,"Sub-representado","Intermediário"))</f>
        <v>Intermediário</v>
      </c>
      <c r="F36" s="46" t="n">
        <v>7</v>
      </c>
      <c r="G36" s="38" t="str">
        <f aca="false">INDEX($A$12:$A$24,MATCH(LARGE($W$12:$W$24,7),$W$12:$W$24,0))</f>
        <v>Porto Esperidião</v>
      </c>
      <c r="H36" s="43" t="n">
        <f aca="false">INDEX($C$12:$C$24,MATCH(LARGE($W$12:$W$24,7),$W$12:$W$24,0))</f>
        <v>1.0107</v>
      </c>
      <c r="I36" s="49" t="str">
        <f aca="false">IF(H36&gt;'Indicadores (F-W)'!$M$11,"Especializado",IF(H36&lt;'Indicadores (F-W)'!$L$11,"Sub-representado","Intermediário"))</f>
        <v>Intermediário</v>
      </c>
      <c r="K36" s="46" t="n">
        <v>7</v>
      </c>
      <c r="L36" s="38" t="str">
        <f aca="false">INDEX($A$12:$A$24,MATCH(LARGE($X$12:$X$24,7),$X$12:$X$24,0))</f>
        <v>Curvelândia</v>
      </c>
      <c r="M36" s="43" t="n">
        <f aca="false">INDEX($D$12:$D$24,MATCH(LARGE($X$12:$X$24,7),$X$12:$X$24,0))</f>
        <v>0.5029</v>
      </c>
      <c r="N36" s="49" t="str">
        <f aca="false">IF(M36&gt;'Indicadores (F-W)'!$M$14,"Especializado",IF(M36&lt;'Indicadores (F-W)'!$L$14,"Sub-representado","Intermediário"))</f>
        <v>Sub-representado</v>
      </c>
    </row>
    <row r="37" customFormat="false" ht="34.5" hidden="false" customHeight="true" outlineLevel="0" collapsed="false">
      <c r="A37" s="46" t="n">
        <v>8</v>
      </c>
      <c r="B37" s="38" t="str">
        <f aca="false">INDEX($A$12:$A$24,MATCH(LARGE($V$12:$V$24,8),$V$12:$V$24,0))</f>
        <v>Barão de Melgaço</v>
      </c>
      <c r="C37" s="43" t="n">
        <f aca="false">INDEX($B$12:$B$24,MATCH(LARGE($V$12:$V$24,8),$V$12:$V$24,0))</f>
        <v>0.9631</v>
      </c>
      <c r="D37" s="49" t="str">
        <f aca="false">IF(C37&gt;'Indicadores (F-W)'!$M$6,"Especializado",IF(C37&lt;'Indicadores (F-W)'!$L$6,"Sub-representado","Intermediário"))</f>
        <v>Intermediário</v>
      </c>
      <c r="F37" s="46" t="n">
        <v>8</v>
      </c>
      <c r="G37" s="38" t="str">
        <f aca="false">INDEX($A$12:$A$24,MATCH(LARGE($W$12:$W$24,8),$W$12:$W$24,0))</f>
        <v>Cáceres</v>
      </c>
      <c r="H37" s="43" t="n">
        <f aca="false">INDEX($C$12:$C$24,MATCH(LARGE($W$12:$W$24,8),$W$12:$W$24,0))</f>
        <v>0.6374</v>
      </c>
      <c r="I37" s="49" t="str">
        <f aca="false">IF(H37&gt;'Indicadores (F-W)'!$M$11,"Especializado",IF(H37&lt;'Indicadores (F-W)'!$L$11,"Sub-representado","Intermediário"))</f>
        <v>Sub-representado</v>
      </c>
      <c r="K37" s="46" t="n">
        <v>8</v>
      </c>
      <c r="L37" s="38" t="str">
        <f aca="false">INDEX($A$12:$A$24,MATCH(LARGE($X$12:$X$24,8),$X$12:$X$24,0))</f>
        <v>Glória D'Oeste</v>
      </c>
      <c r="M37" s="43" t="n">
        <f aca="false">INDEX($D$12:$D$24,MATCH(LARGE($X$12:$X$24,8),$X$12:$X$24,0))</f>
        <v>0.4636</v>
      </c>
      <c r="N37" s="49" t="str">
        <f aca="false">IF(M37&gt;'Indicadores (F-W)'!$M$14,"Especializado",IF(M37&lt;'Indicadores (F-W)'!$L$14,"Sub-representado","Intermediário"))</f>
        <v>Sub-representado</v>
      </c>
    </row>
    <row r="38" customFormat="false" ht="34.5" hidden="false" customHeight="true" outlineLevel="0" collapsed="false">
      <c r="A38" s="46" t="n">
        <v>9</v>
      </c>
      <c r="B38" s="38" t="str">
        <f aca="false">INDEX($A$12:$A$24,MATCH(LARGE($V$12:$V$24,9),$V$12:$V$24,0))</f>
        <v>Nossa Senhora do Livramento</v>
      </c>
      <c r="C38" s="43" t="n">
        <f aca="false">INDEX($B$12:$B$24,MATCH(LARGE($V$12:$V$24,9),$V$12:$V$24,0))</f>
        <v>0.5183</v>
      </c>
      <c r="D38" s="49" t="str">
        <f aca="false">IF(C38&gt;'Indicadores (F-W)'!$M$6,"Especializado",IF(C38&lt;'Indicadores (F-W)'!$L$6,"Sub-representado","Intermediário"))</f>
        <v>Sub-representado</v>
      </c>
      <c r="F38" s="46" t="n">
        <v>9</v>
      </c>
      <c r="G38" s="38" t="str">
        <f aca="false">INDEX($A$12:$A$24,MATCH(LARGE($W$12:$W$24,9),$W$12:$W$24,0))</f>
        <v>Poconé</v>
      </c>
      <c r="H38" s="43" t="n">
        <f aca="false">INDEX($C$12:$C$24,MATCH(LARGE($W$12:$W$24,9),$W$12:$W$24,0))</f>
        <v>0.5947</v>
      </c>
      <c r="I38" s="49" t="str">
        <f aca="false">IF(H38&gt;'Indicadores (F-W)'!$M$11,"Especializado",IF(H38&lt;'Indicadores (F-W)'!$L$11,"Sub-representado","Intermediário"))</f>
        <v>Sub-representado</v>
      </c>
      <c r="K38" s="46" t="n">
        <v>9</v>
      </c>
      <c r="L38" s="38" t="str">
        <f aca="false">INDEX($A$12:$A$24,MATCH(LARGE($X$12:$X$24,9),$X$12:$X$24,0))</f>
        <v>Juscimeira</v>
      </c>
      <c r="M38" s="43" t="n">
        <f aca="false">INDEX($D$12:$D$24,MATCH(LARGE($X$12:$X$24,9),$X$12:$X$24,0))</f>
        <v>0.4388</v>
      </c>
      <c r="N38" s="49" t="str">
        <f aca="false">IF(M38&gt;'Indicadores (F-W)'!$M$14,"Especializado",IF(M38&lt;'Indicadores (F-W)'!$L$14,"Sub-representado","Intermediário"))</f>
        <v>Sub-representado</v>
      </c>
    </row>
    <row r="39" customFormat="false" ht="34.5" hidden="false" customHeight="true" outlineLevel="0" collapsed="false">
      <c r="A39" s="46" t="n">
        <v>10</v>
      </c>
      <c r="B39" s="38" t="str">
        <f aca="false">INDEX($A$12:$A$24,MATCH(LARGE($V$12:$V$24,10),$V$12:$V$24,0))</f>
        <v>Poconé</v>
      </c>
      <c r="C39" s="43" t="n">
        <f aca="false">INDEX($B$12:$B$24,MATCH(LARGE($V$12:$V$24,10),$V$12:$V$24,0))</f>
        <v>0.5066</v>
      </c>
      <c r="D39" s="49" t="str">
        <f aca="false">IF(C39&gt;'Indicadores (F-W)'!$M$6,"Especializado",IF(C39&lt;'Indicadores (F-W)'!$L$6,"Sub-representado","Intermediário"))</f>
        <v>Sub-representado</v>
      </c>
      <c r="F39" s="46" t="n">
        <v>10</v>
      </c>
      <c r="G39" s="38" t="str">
        <f aca="false">INDEX($A$12:$A$24,MATCH(LARGE($W$12:$W$24,10),$W$12:$W$24,0))</f>
        <v>Santo Antônio do Leverger</v>
      </c>
      <c r="H39" s="43" t="n">
        <f aca="false">INDEX($C$12:$C$24,MATCH(LARGE($W$12:$W$24,10),$W$12:$W$24,0))</f>
        <v>0.4719</v>
      </c>
      <c r="I39" s="49" t="str">
        <f aca="false">IF(H39&gt;'Indicadores (F-W)'!$M$11,"Especializado",IF(H39&lt;'Indicadores (F-W)'!$L$11,"Sub-representado","Intermediário"))</f>
        <v>Sub-representado</v>
      </c>
      <c r="K39" s="46" t="n">
        <v>10</v>
      </c>
      <c r="L39" s="38" t="str">
        <f aca="false">INDEX($A$12:$A$24,MATCH(LARGE($X$12:$X$24,10),$X$12:$X$24,0))</f>
        <v>Barão de Melgaço</v>
      </c>
      <c r="M39" s="43" t="n">
        <f aca="false">INDEX($D$12:$D$24,MATCH(LARGE($X$12:$X$24,10),$X$12:$X$24,0))</f>
        <v>0.4274</v>
      </c>
      <c r="N39" s="49" t="str">
        <f aca="false">IF(M39&gt;'Indicadores (F-W)'!$M$14,"Especializado",IF(M39&lt;'Indicadores (F-W)'!$L$14,"Sub-representado","Intermediário"))</f>
        <v>Sub-representado</v>
      </c>
    </row>
    <row r="40" customFormat="false" ht="34.5" hidden="false" customHeight="true" outlineLevel="0" collapsed="false">
      <c r="A40" s="46" t="n">
        <v>11</v>
      </c>
      <c r="B40" s="38" t="str">
        <f aca="false">INDEX($A$12:$A$24,MATCH(LARGE($V$12:$V$24,11),$V$12:$V$24,0))</f>
        <v>Mirassol D'Oeste</v>
      </c>
      <c r="C40" s="43" t="n">
        <f aca="false">INDEX($B$12:$B$24,MATCH(LARGE($V$12:$V$24,11),$V$12:$V$24,0))</f>
        <v>0.416</v>
      </c>
      <c r="D40" s="49" t="str">
        <f aca="false">IF(C40&gt;'Indicadores (F-W)'!$M$6,"Especializado",IF(C40&lt;'Indicadores (F-W)'!$L$6,"Sub-representado","Intermediário"))</f>
        <v>Sub-representado</v>
      </c>
      <c r="F40" s="46" t="n">
        <v>11</v>
      </c>
      <c r="G40" s="38" t="str">
        <f aca="false">INDEX($A$12:$A$24,MATCH(LARGE($W$12:$W$24,11),$W$12:$W$24,0))</f>
        <v>Curvelândia</v>
      </c>
      <c r="H40" s="43" t="n">
        <f aca="false">INDEX($C$12:$C$24,MATCH(LARGE($W$12:$W$24,11),$W$12:$W$24,0))</f>
        <v>0.4717</v>
      </c>
      <c r="I40" s="49" t="str">
        <f aca="false">IF(H40&gt;'Indicadores (F-W)'!$M$11,"Especializado",IF(H40&lt;'Indicadores (F-W)'!$L$11,"Sub-representado","Intermediário"))</f>
        <v>Sub-representado</v>
      </c>
      <c r="K40" s="46" t="n">
        <v>11</v>
      </c>
      <c r="L40" s="38" t="str">
        <f aca="false">INDEX($A$12:$A$24,MATCH(LARGE($X$12:$X$24,11),$X$12:$X$24,0))</f>
        <v>Itiquira</v>
      </c>
      <c r="M40" s="43" t="n">
        <f aca="false">INDEX($D$12:$D$24,MATCH(LARGE($X$12:$X$24,11),$X$12:$X$24,0))</f>
        <v>0.3623</v>
      </c>
      <c r="N40" s="49" t="str">
        <f aca="false">IF(M40&gt;'Indicadores (F-W)'!$M$14,"Especializado",IF(M40&lt;'Indicadores (F-W)'!$L$14,"Sub-representado","Intermediário"))</f>
        <v>Sub-representado</v>
      </c>
    </row>
    <row r="41" customFormat="false" ht="34.5" hidden="false" customHeight="true" outlineLevel="0" collapsed="false">
      <c r="A41" s="46" t="n">
        <v>12</v>
      </c>
      <c r="B41" s="38" t="str">
        <f aca="false">INDEX($A$12:$A$24,MATCH(LARGE($V$12:$V$24,12),$V$12:$V$24,0))</f>
        <v>Cáceres</v>
      </c>
      <c r="C41" s="43" t="n">
        <f aca="false">INDEX($B$12:$B$24,MATCH(LARGE($V$12:$V$24,12),$V$12:$V$24,0))</f>
        <v>0.3713</v>
      </c>
      <c r="D41" s="49" t="str">
        <f aca="false">IF(C41&gt;'Indicadores (F-W)'!$M$6,"Especializado",IF(C41&lt;'Indicadores (F-W)'!$L$6,"Sub-representado","Intermediário"))</f>
        <v>Sub-representado</v>
      </c>
      <c r="F41" s="46" t="n">
        <v>12</v>
      </c>
      <c r="G41" s="38" t="str">
        <f aca="false">INDEX($A$12:$A$24,MATCH(LARGE($W$12:$W$24,12),$W$12:$W$24,0))</f>
        <v>Glória D'Oeste</v>
      </c>
      <c r="H41" s="43" t="n">
        <f aca="false">INDEX($C$12:$C$24,MATCH(LARGE($W$12:$W$24,12),$W$12:$W$24,0))</f>
        <v>0.2854</v>
      </c>
      <c r="I41" s="49" t="str">
        <f aca="false">IF(H41&gt;'Indicadores (F-W)'!$M$11,"Especializado",IF(H41&lt;'Indicadores (F-W)'!$L$11,"Sub-representado","Intermediário"))</f>
        <v>Sub-representado</v>
      </c>
      <c r="K41" s="46" t="n">
        <v>12</v>
      </c>
      <c r="L41" s="38" t="str">
        <f aca="false">INDEX($A$12:$A$24,MATCH(LARGE($X$12:$X$24,12),$X$12:$X$24,0))</f>
        <v>Santo Antônio do Leverger</v>
      </c>
      <c r="M41" s="43" t="n">
        <f aca="false">INDEX($D$12:$D$24,MATCH(LARGE($X$12:$X$24,12),$X$12:$X$24,0))</f>
        <v>0.3417</v>
      </c>
      <c r="N41" s="49" t="str">
        <f aca="false">IF(M41&gt;'Indicadores (F-W)'!$M$14,"Especializado",IF(M41&lt;'Indicadores (F-W)'!$L$14,"Sub-representado","Intermediário"))</f>
        <v>Sub-representado</v>
      </c>
    </row>
    <row r="42" customFormat="false" ht="34.5" hidden="false" customHeight="true" outlineLevel="0" collapsed="false">
      <c r="A42" s="46" t="n">
        <v>13</v>
      </c>
      <c r="B42" s="38" t="str">
        <f aca="false">INDEX($A$12:$A$24,MATCH(LARGE($V$12:$V$24,13),$V$12:$V$24,0))</f>
        <v>Rondonópolis</v>
      </c>
      <c r="C42" s="43" t="n">
        <f aca="false">INDEX($B$12:$B$24,MATCH(LARGE($V$12:$V$24,13),$V$12:$V$24,0))</f>
        <v>0.1067</v>
      </c>
      <c r="D42" s="49" t="str">
        <f aca="false">IF(C42&gt;'Indicadores (F-W)'!$M$6,"Especializado",IF(C42&lt;'Indicadores (F-W)'!$L$6,"Sub-representado","Intermediário"))</f>
        <v>Sub-representado</v>
      </c>
      <c r="F42" s="46" t="n">
        <v>13</v>
      </c>
      <c r="G42" s="38" t="str">
        <f aca="false">INDEX($A$12:$A$24,MATCH(LARGE($W$12:$W$24,13),$W$12:$W$24,0))</f>
        <v>Barão de Melgaço</v>
      </c>
      <c r="H42" s="43" t="n">
        <f aca="false">INDEX($C$12:$C$24,MATCH(LARGE($W$12:$W$24,13),$W$12:$W$24,0))</f>
        <v>0.169</v>
      </c>
      <c r="I42" s="49" t="str">
        <f aca="false">IF(H42&gt;'Indicadores (F-W)'!$M$11,"Especializado",IF(H42&lt;'Indicadores (F-W)'!$L$11,"Sub-representado","Intermediário"))</f>
        <v>Sub-representado</v>
      </c>
      <c r="K42" s="46" t="n">
        <v>13</v>
      </c>
      <c r="L42" s="38" t="str">
        <f aca="false">INDEX($A$12:$A$24,MATCH(LARGE($X$12:$X$24,13),$X$12:$X$24,0))</f>
        <v>Lambari D'Oeste</v>
      </c>
      <c r="M42" s="43" t="n">
        <f aca="false">INDEX($D$12:$D$24,MATCH(LARGE($X$12:$X$24,13),$X$12:$X$24,0))</f>
        <v>0.3227</v>
      </c>
      <c r="N42" s="49" t="str">
        <f aca="false">IF(M42&gt;'Indicadores (F-W)'!$M$14,"Especializado",IF(M42&lt;'Indicadores (F-W)'!$L$14,"Sub-representado","Intermediário"))</f>
        <v>Sub-representado</v>
      </c>
    </row>
    <row r="45" customFormat="false" ht="15" hidden="false" customHeight="true" outlineLevel="0" collapsed="false">
      <c r="A45" s="47" t="s">
        <v>103</v>
      </c>
    </row>
    <row r="46" customFormat="false" ht="23.25" hidden="false" customHeight="true" outlineLevel="0" collapsed="false">
      <c r="A46" s="48" t="s">
        <v>104</v>
      </c>
      <c r="B46" s="48"/>
      <c r="C46" s="48"/>
      <c r="D46" s="48"/>
      <c r="F46" s="48" t="s">
        <v>105</v>
      </c>
      <c r="G46" s="48"/>
      <c r="H46" s="48"/>
      <c r="I46" s="48"/>
      <c r="J46" s="48"/>
    </row>
    <row r="47" customFormat="false" ht="23.25" hidden="false" customHeight="true" outlineLevel="0" collapsed="false">
      <c r="A47" s="34" t="s">
        <v>100</v>
      </c>
      <c r="B47" s="34" t="s">
        <v>37</v>
      </c>
      <c r="C47" s="34" t="s">
        <v>106</v>
      </c>
      <c r="D47" s="34" t="s">
        <v>91</v>
      </c>
      <c r="F47" s="34" t="s">
        <v>100</v>
      </c>
      <c r="G47" s="34" t="s">
        <v>37</v>
      </c>
      <c r="H47" s="34" t="s">
        <v>107</v>
      </c>
      <c r="I47" s="34" t="s">
        <v>91</v>
      </c>
      <c r="J47" s="34" t="s">
        <v>108</v>
      </c>
    </row>
    <row r="48" customFormat="false" ht="34.5" hidden="false" customHeight="true" outlineLevel="0" collapsed="false">
      <c r="A48" s="46" t="n">
        <v>1</v>
      </c>
      <c r="B48" s="38" t="str">
        <f aca="false">INDEX($A$12:$A$24,MATCH(LARGE($Y$12:$Y$24,1),$Y$12:$Y$24,0))</f>
        <v>Rondonópolis</v>
      </c>
      <c r="C48" s="45" t="n">
        <f aca="false">INDEX($J$12:$J$24,MATCH(LARGE($Y$12:$Y$24,1),$Y$12:$Y$24,0))</f>
        <v>0.3415444602</v>
      </c>
      <c r="D48" s="36" t="str">
        <f aca="false">INDEX($O$12:$O$24,MATCH(LARGE($Y$12:$Y$24,1),$Y$12:$Y$24,0))</f>
        <v>Serviços</v>
      </c>
      <c r="F48" s="46" t="n">
        <v>1</v>
      </c>
      <c r="G48" s="38" t="str">
        <f aca="false">INDEX($A$12:$A$24,MATCH(LARGE($Z$12:$Z$24,1),$Z$12:$Z$24,0))</f>
        <v>Nossa Senhora do Livramento</v>
      </c>
      <c r="H48" s="45" t="n">
        <f aca="false">INDEX($M$12:$M$24,MATCH(LARGE($Z$12:$Z$24,1),$Z$12:$Z$24,0))</f>
        <v>0.992002570296497</v>
      </c>
      <c r="I48" s="36" t="str">
        <f aca="false">INDEX($O$12:$O$24,MATCH(LARGE($Z$12:$Z$24,1),$Z$12:$Z$24,0))</f>
        <v>Indústria</v>
      </c>
      <c r="J48" s="44" t="n">
        <f aca="false">INDEX($P$12:$P$24,MATCH(LARGE($Z$12:$Z$24,1),$Z$12:$Z$24,0))</f>
        <v>0.3064588241</v>
      </c>
    </row>
    <row r="49" customFormat="false" ht="23.25" hidden="false" customHeight="true" outlineLevel="0" collapsed="false">
      <c r="A49" s="46" t="n">
        <v>2</v>
      </c>
      <c r="B49" s="38" t="str">
        <f aca="false">INDEX($A$12:$A$24,MATCH(LARGE($Y$12:$Y$24,2),$Y$12:$Y$24,0))</f>
        <v>Barão de Melgaço</v>
      </c>
      <c r="C49" s="45" t="n">
        <f aca="false">INDEX($J$12:$J$24,MATCH(LARGE($Y$12:$Y$24,2),$Y$12:$Y$24,0))</f>
        <v>0.34061158105</v>
      </c>
      <c r="D49" s="36" t="str">
        <f aca="false">INDEX($O$12:$O$24,MATCH(LARGE($Y$12:$Y$24,2),$Y$12:$Y$24,0))</f>
        <v>Adm. pública</v>
      </c>
      <c r="F49" s="46" t="n">
        <v>2</v>
      </c>
      <c r="G49" s="38" t="str">
        <f aca="false">INDEX($A$12:$A$24,MATCH(LARGE($Z$12:$Z$24,2),$Z$12:$Z$24,0))</f>
        <v>Porto Esperidião</v>
      </c>
      <c r="H49" s="45" t="n">
        <f aca="false">INDEX($M$12:$M$24,MATCH(LARGE($Z$12:$Z$24,2),$Z$12:$Z$24,0))</f>
        <v>0.955528542167855</v>
      </c>
      <c r="I49" s="36" t="str">
        <f aca="false">INDEX($O$12:$O$24,MATCH(LARGE($Z$12:$Z$24,2),$Z$12:$Z$24,0))</f>
        <v>Agropecuária</v>
      </c>
      <c r="J49" s="44" t="n">
        <f aca="false">INDEX($P$12:$P$24,MATCH(LARGE($Z$12:$Z$24,2),$Z$12:$Z$24,0))</f>
        <v>0.3815918912</v>
      </c>
    </row>
    <row r="50" customFormat="false" ht="34.5" hidden="false" customHeight="true" outlineLevel="0" collapsed="false">
      <c r="A50" s="46" t="n">
        <v>3</v>
      </c>
      <c r="B50" s="38" t="str">
        <f aca="false">INDEX($A$12:$A$24,MATCH(LARGE($Y$12:$Y$24,3),$Y$12:$Y$24,0))</f>
        <v>Santo Antônio do Leverger</v>
      </c>
      <c r="C50" s="45" t="n">
        <f aca="false">INDEX($J$12:$J$24,MATCH(LARGE($Y$12:$Y$24,3),$Y$12:$Y$24,0))</f>
        <v>0.3100914496</v>
      </c>
      <c r="D50" s="36" t="str">
        <f aca="false">INDEX($O$12:$O$24,MATCH(LARGE($Y$12:$Y$24,3),$Y$12:$Y$24,0))</f>
        <v>Agropecuária</v>
      </c>
      <c r="F50" s="46" t="n">
        <v>3</v>
      </c>
      <c r="G50" s="38" t="str">
        <f aca="false">INDEX($A$12:$A$24,MATCH(LARGE($Z$12:$Z$24,3),$Z$12:$Z$24,0))</f>
        <v>Mirassol D'Oeste</v>
      </c>
      <c r="H50" s="45" t="n">
        <f aca="false">INDEX($M$12:$M$24,MATCH(LARGE($Z$12:$Z$24,3),$Z$12:$Z$24,0))</f>
        <v>0.952841967407325</v>
      </c>
      <c r="I50" s="36" t="str">
        <f aca="false">INDEX($O$12:$O$24,MATCH(LARGE($Z$12:$Z$24,3),$Z$12:$Z$24,0))</f>
        <v>Serviços</v>
      </c>
      <c r="J50" s="44" t="n">
        <f aca="false">INDEX($P$12:$P$24,MATCH(LARGE($Z$12:$Z$24,3),$Z$12:$Z$24,0))</f>
        <v>0.400550077</v>
      </c>
    </row>
    <row r="51" customFormat="false" ht="23.25" hidden="false" customHeight="true" outlineLevel="0" collapsed="false">
      <c r="A51" s="46" t="n">
        <v>4</v>
      </c>
      <c r="B51" s="38" t="str">
        <f aca="false">INDEX($A$12:$A$24,MATCH(LARGE($Y$12:$Y$24,4),$Y$12:$Y$24,0))</f>
        <v>Glória D'Oeste</v>
      </c>
      <c r="C51" s="45" t="n">
        <f aca="false">INDEX($J$12:$J$24,MATCH(LARGE($Y$12:$Y$24,4),$Y$12:$Y$24,0))</f>
        <v>0.2962055228</v>
      </c>
      <c r="D51" s="36" t="str">
        <f aca="false">INDEX($O$12:$O$24,MATCH(LARGE($Y$12:$Y$24,4),$Y$12:$Y$24,0))</f>
        <v>Agropecuária</v>
      </c>
      <c r="F51" s="46" t="n">
        <v>4</v>
      </c>
      <c r="G51" s="38" t="str">
        <f aca="false">INDEX($A$12:$A$24,MATCH(LARGE($Z$12:$Z$24,4),$Z$12:$Z$24,0))</f>
        <v>Poconé</v>
      </c>
      <c r="H51" s="45" t="n">
        <f aca="false">INDEX($M$12:$M$24,MATCH(LARGE($Z$12:$Z$24,4),$Z$12:$Z$24,0))</f>
        <v>0.928711124741731</v>
      </c>
      <c r="I51" s="36" t="str">
        <f aca="false">INDEX($O$12:$O$24,MATCH(LARGE($Z$12:$Z$24,4),$Z$12:$Z$24,0))</f>
        <v>Serviços</v>
      </c>
      <c r="J51" s="44" t="n">
        <f aca="false">INDEX($P$12:$P$24,MATCH(LARGE($Z$12:$Z$24,4),$Z$12:$Z$24,0))</f>
        <v>0.384385941</v>
      </c>
    </row>
    <row r="52" customFormat="false" ht="15" hidden="false" customHeight="true" outlineLevel="0" collapsed="false">
      <c r="A52" s="46" t="n">
        <v>5</v>
      </c>
      <c r="B52" s="38" t="str">
        <f aca="false">INDEX($A$12:$A$24,MATCH(LARGE($Y$12:$Y$24,5),$Y$12:$Y$24,0))</f>
        <v>Cáceres</v>
      </c>
      <c r="C52" s="45" t="n">
        <f aca="false">INDEX($J$12:$J$24,MATCH(LARGE($Y$12:$Y$24,5),$Y$12:$Y$24,0))</f>
        <v>0.2942523025</v>
      </c>
      <c r="D52" s="36" t="str">
        <f aca="false">INDEX($O$12:$O$24,MATCH(LARGE($Y$12:$Y$24,5),$Y$12:$Y$24,0))</f>
        <v>Serviços</v>
      </c>
      <c r="F52" s="46" t="n">
        <v>5</v>
      </c>
      <c r="G52" s="38" t="str">
        <f aca="false">INDEX($A$12:$A$24,MATCH(LARGE($Z$12:$Z$24,5),$Z$12:$Z$24,0))</f>
        <v>Cáceres</v>
      </c>
      <c r="H52" s="45" t="n">
        <f aca="false">INDEX($M$12:$M$24,MATCH(LARGE($Z$12:$Z$24,5),$Z$12:$Z$24,0))</f>
        <v>0.893488013823947</v>
      </c>
      <c r="I52" s="36" t="str">
        <f aca="false">INDEX($O$12:$O$24,MATCH(LARGE($Z$12:$Z$24,5),$Z$12:$Z$24,0))</f>
        <v>Serviços</v>
      </c>
      <c r="J52" s="44" t="n">
        <f aca="false">INDEX($P$12:$P$24,MATCH(LARGE($Z$12:$Z$24,5),$Z$12:$Z$24,0))</f>
        <v>0.4533273745</v>
      </c>
    </row>
    <row r="53" customFormat="false" ht="34.5" hidden="false" customHeight="true" outlineLevel="0" collapsed="false">
      <c r="A53" s="46" t="n">
        <v>6</v>
      </c>
      <c r="B53" s="38" t="str">
        <f aca="false">INDEX($A$12:$A$24,MATCH(LARGE($Y$12:$Y$24,6),$Y$12:$Y$24,0))</f>
        <v>Nossa Senhora do Livramento</v>
      </c>
      <c r="C53" s="45" t="n">
        <f aca="false">INDEX($J$12:$J$24,MATCH(LARGE($Y$12:$Y$24,6),$Y$12:$Y$24,0))</f>
        <v>0.28431880145</v>
      </c>
      <c r="D53" s="36" t="str">
        <f aca="false">INDEX($O$12:$O$24,MATCH(LARGE($Y$12:$Y$24,6),$Y$12:$Y$24,0))</f>
        <v>Indústria</v>
      </c>
      <c r="F53" s="46" t="n">
        <v>6</v>
      </c>
      <c r="G53" s="38" t="str">
        <f aca="false">INDEX($A$12:$A$24,MATCH(LARGE($Z$12:$Z$24,6),$Z$12:$Z$24,0))</f>
        <v>Curvelândia</v>
      </c>
      <c r="H53" s="45" t="n">
        <f aca="false">INDEX($M$12:$M$24,MATCH(LARGE($Z$12:$Z$24,6),$Z$12:$Z$24,0))</f>
        <v>0.890639808089837</v>
      </c>
      <c r="I53" s="36" t="str">
        <f aca="false">INDEX($O$12:$O$24,MATCH(LARGE($Z$12:$Z$24,6),$Z$12:$Z$24,0))</f>
        <v>Agropecuária</v>
      </c>
      <c r="J53" s="44" t="n">
        <f aca="false">INDEX($P$12:$P$24,MATCH(LARGE($Z$12:$Z$24,6),$Z$12:$Z$24,0))</f>
        <v>0.4565582918</v>
      </c>
    </row>
    <row r="54" customFormat="false" ht="23.25" hidden="false" customHeight="true" outlineLevel="0" collapsed="false">
      <c r="A54" s="46" t="n">
        <v>7</v>
      </c>
      <c r="B54" s="38" t="str">
        <f aca="false">INDEX($A$12:$A$24,MATCH(LARGE($Y$12:$Y$24,7),$Y$12:$Y$24,0))</f>
        <v>Itiquira</v>
      </c>
      <c r="C54" s="45" t="n">
        <f aca="false">INDEX($J$12:$J$24,MATCH(LARGE($Y$12:$Y$24,7),$Y$12:$Y$24,0))</f>
        <v>0.2822146333</v>
      </c>
      <c r="D54" s="36" t="str">
        <f aca="false">INDEX($O$12:$O$24,MATCH(LARGE($Y$12:$Y$24,7),$Y$12:$Y$24,0))</f>
        <v>Agropecuária</v>
      </c>
      <c r="F54" s="46" t="n">
        <v>7</v>
      </c>
      <c r="G54" s="38" t="str">
        <f aca="false">INDEX($A$12:$A$24,MATCH(LARGE($Z$12:$Z$24,7),$Z$12:$Z$24,0))</f>
        <v>Juscimeira</v>
      </c>
      <c r="H54" s="45" t="n">
        <f aca="false">INDEX($M$12:$M$24,MATCH(LARGE($Z$12:$Z$24,7),$Z$12:$Z$24,0))</f>
        <v>0.887623014327785</v>
      </c>
      <c r="I54" s="36" t="str">
        <f aca="false">INDEX($O$12:$O$24,MATCH(LARGE($Z$12:$Z$24,7),$Z$12:$Z$24,0))</f>
        <v>Agropecuária</v>
      </c>
      <c r="J54" s="44" t="n">
        <f aca="false">INDEX($P$12:$P$24,MATCH(LARGE($Z$12:$Z$24,7),$Z$12:$Z$24,0))</f>
        <v>0.500915311</v>
      </c>
    </row>
    <row r="55" customFormat="false" ht="23.25" hidden="false" customHeight="true" outlineLevel="0" collapsed="false">
      <c r="A55" s="46" t="n">
        <v>8</v>
      </c>
      <c r="B55" s="38" t="str">
        <f aca="false">INDEX($A$12:$A$24,MATCH(LARGE($Y$12:$Y$24,8),$Y$12:$Y$24,0))</f>
        <v>Curvelândia</v>
      </c>
      <c r="C55" s="45" t="n">
        <f aca="false">INDEX($J$12:$J$24,MATCH(LARGE($Y$12:$Y$24,8),$Y$12:$Y$24,0))</f>
        <v>0.2539956412</v>
      </c>
      <c r="D55" s="36" t="str">
        <f aca="false">INDEX($O$12:$O$24,MATCH(LARGE($Y$12:$Y$24,8),$Y$12:$Y$24,0))</f>
        <v>Agropecuária</v>
      </c>
      <c r="F55" s="46" t="n">
        <v>8</v>
      </c>
      <c r="G55" s="38" t="str">
        <f aca="false">INDEX($A$12:$A$24,MATCH(LARGE($Z$12:$Z$24,8),$Z$12:$Z$24,0))</f>
        <v>Lambari D'Oeste</v>
      </c>
      <c r="H55" s="45" t="n">
        <f aca="false">INDEX($M$12:$M$24,MATCH(LARGE($Z$12:$Z$24,8),$Z$12:$Z$24,0))</f>
        <v>0.867632258743639</v>
      </c>
      <c r="I55" s="36" t="str">
        <f aca="false">INDEX($O$12:$O$24,MATCH(LARGE($Z$12:$Z$24,8),$Z$12:$Z$24,0))</f>
        <v>Agropecuária</v>
      </c>
      <c r="J55" s="44" t="n">
        <f aca="false">INDEX($P$12:$P$24,MATCH(LARGE($Z$12:$Z$24,8),$Z$12:$Z$24,0))</f>
        <v>0.518004916</v>
      </c>
    </row>
    <row r="56" customFormat="false" ht="23.25" hidden="false" customHeight="true" outlineLevel="0" collapsed="false">
      <c r="A56" s="46" t="n">
        <v>9</v>
      </c>
      <c r="B56" s="38" t="str">
        <f aca="false">INDEX($A$12:$A$24,MATCH(LARGE($Y$12:$Y$24,9),$Y$12:$Y$24,0))</f>
        <v>Poconé</v>
      </c>
      <c r="C56" s="45" t="n">
        <f aca="false">INDEX($J$12:$J$24,MATCH(LARGE($Y$12:$Y$24,9),$Y$12:$Y$24,0))</f>
        <v>0.24940627185</v>
      </c>
      <c r="D56" s="36" t="str">
        <f aca="false">INDEX($O$12:$O$24,MATCH(LARGE($Y$12:$Y$24,9),$Y$12:$Y$24,0))</f>
        <v>Serviços</v>
      </c>
      <c r="F56" s="46" t="n">
        <v>9</v>
      </c>
      <c r="G56" s="38" t="str">
        <f aca="false">INDEX($A$12:$A$24,MATCH(LARGE($Z$12:$Z$24,9),$Z$12:$Z$24,0))</f>
        <v>Barão de Melgaço</v>
      </c>
      <c r="H56" s="45" t="n">
        <f aca="false">INDEX($M$12:$M$24,MATCH(LARGE($Z$12:$Z$24,9),$Z$12:$Z$24,0))</f>
        <v>0.842994231399498</v>
      </c>
      <c r="I56" s="36" t="str">
        <f aca="false">INDEX($O$12:$O$24,MATCH(LARGE($Z$12:$Z$24,9),$Z$12:$Z$24,0))</f>
        <v>Adm. pública</v>
      </c>
      <c r="J56" s="44" t="n">
        <f aca="false">INDEX($P$12:$P$24,MATCH(LARGE($Z$12:$Z$24,9),$Z$12:$Z$24,0))</f>
        <v>0.4595</v>
      </c>
    </row>
    <row r="57" customFormat="false" ht="23.25" hidden="false" customHeight="true" outlineLevel="0" collapsed="false">
      <c r="A57" s="46" t="n">
        <v>10</v>
      </c>
      <c r="B57" s="38" t="str">
        <f aca="false">INDEX($A$12:$A$24,MATCH(LARGE($Y$12:$Y$24,10),$Y$12:$Y$24,0))</f>
        <v>Lambari D'Oeste</v>
      </c>
      <c r="C57" s="45" t="n">
        <f aca="false">INDEX($J$12:$J$24,MATCH(LARGE($Y$12:$Y$24,10),$Y$12:$Y$24,0))</f>
        <v>0.23595891585</v>
      </c>
      <c r="D57" s="36" t="str">
        <f aca="false">INDEX($O$12:$O$24,MATCH(LARGE($Y$12:$Y$24,10),$Y$12:$Y$24,0))</f>
        <v>Agropecuária</v>
      </c>
      <c r="F57" s="46" t="n">
        <v>10</v>
      </c>
      <c r="G57" s="38" t="str">
        <f aca="false">INDEX($A$12:$A$24,MATCH(LARGE($Z$12:$Z$24,10),$Z$12:$Z$24,0))</f>
        <v>Glória D'Oeste</v>
      </c>
      <c r="H57" s="45" t="n">
        <f aca="false">INDEX($M$12:$M$24,MATCH(LARGE($Z$12:$Z$24,10),$Z$12:$Z$24,0))</f>
        <v>0.830308592972096</v>
      </c>
      <c r="I57" s="36" t="str">
        <f aca="false">INDEX($O$12:$O$24,MATCH(LARGE($Z$12:$Z$24,10),$Z$12:$Z$24,0))</f>
        <v>Agropecuária</v>
      </c>
      <c r="J57" s="44" t="n">
        <f aca="false">INDEX($P$12:$P$24,MATCH(LARGE($Z$12:$Z$24,10),$Z$12:$Z$24,0))</f>
        <v>0.5265876954</v>
      </c>
    </row>
    <row r="58" customFormat="false" ht="23.25" hidden="false" customHeight="true" outlineLevel="0" collapsed="false">
      <c r="A58" s="46" t="n">
        <v>11</v>
      </c>
      <c r="B58" s="38" t="str">
        <f aca="false">INDEX($A$12:$A$24,MATCH(LARGE($Y$12:$Y$24,11),$Y$12:$Y$24,0))</f>
        <v>Mirassol D'Oeste</v>
      </c>
      <c r="C58" s="45" t="n">
        <f aca="false">INDEX($J$12:$J$24,MATCH(LARGE($Y$12:$Y$24,11),$Y$12:$Y$24,0))</f>
        <v>0.2217954577</v>
      </c>
      <c r="D58" s="36" t="str">
        <f aca="false">INDEX($O$12:$O$24,MATCH(LARGE($Y$12:$Y$24,11),$Y$12:$Y$24,0))</f>
        <v>Serviços</v>
      </c>
      <c r="F58" s="46" t="n">
        <v>11</v>
      </c>
      <c r="G58" s="38" t="str">
        <f aca="false">INDEX($A$12:$A$24,MATCH(LARGE($Z$12:$Z$24,11),$Z$12:$Z$24,0))</f>
        <v>Rondonópolis</v>
      </c>
      <c r="H58" s="45" t="n">
        <f aca="false">INDEX($M$12:$M$24,MATCH(LARGE($Z$12:$Z$24,11),$Z$12:$Z$24,0))</f>
        <v>0.790394408618422</v>
      </c>
      <c r="I58" s="36" t="str">
        <f aca="false">INDEX($O$12:$O$24,MATCH(LARGE($Z$12:$Z$24,11),$Z$12:$Z$24,0))</f>
        <v>Serviços</v>
      </c>
      <c r="J58" s="44" t="n">
        <f aca="false">INDEX($P$12:$P$24,MATCH(LARGE($Z$12:$Z$24,11),$Z$12:$Z$24,0))</f>
        <v>0.556965962</v>
      </c>
    </row>
    <row r="59" customFormat="false" ht="23.25" hidden="false" customHeight="true" outlineLevel="0" collapsed="false">
      <c r="A59" s="46" t="n">
        <v>12</v>
      </c>
      <c r="B59" s="38" t="str">
        <f aca="false">INDEX($A$12:$A$24,MATCH(LARGE($Y$12:$Y$24,12),$Y$12:$Y$24,0))</f>
        <v>Juscimeira</v>
      </c>
      <c r="C59" s="45" t="n">
        <f aca="false">INDEX($J$12:$J$24,MATCH(LARGE($Y$12:$Y$24,12),$Y$12:$Y$24,0))</f>
        <v>0.19551160285</v>
      </c>
      <c r="D59" s="36" t="str">
        <f aca="false">INDEX($O$12:$O$24,MATCH(LARGE($Y$12:$Y$24,12),$Y$12:$Y$24,0))</f>
        <v>Agropecuária</v>
      </c>
      <c r="F59" s="46" t="n">
        <v>12</v>
      </c>
      <c r="G59" s="38" t="str">
        <f aca="false">INDEX($A$12:$A$24,MATCH(LARGE($Z$12:$Z$24,12),$Z$12:$Z$24,0))</f>
        <v>Itiquira</v>
      </c>
      <c r="H59" s="45" t="n">
        <f aca="false">INDEX($M$12:$M$24,MATCH(LARGE($Z$12:$Z$24,12),$Z$12:$Z$24,0))</f>
        <v>0.746841206434355</v>
      </c>
      <c r="I59" s="36" t="str">
        <f aca="false">INDEX($O$12:$O$24,MATCH(LARGE($Z$12:$Z$24,12),$Z$12:$Z$24,0))</f>
        <v>Agropecuária</v>
      </c>
      <c r="J59" s="44" t="n">
        <f aca="false">INDEX($P$12:$P$24,MATCH(LARGE($Z$12:$Z$24,12),$Z$12:$Z$24,0))</f>
        <v>0.6177322554</v>
      </c>
    </row>
    <row r="60" customFormat="false" ht="34.5" hidden="false" customHeight="true" outlineLevel="0" collapsed="false">
      <c r="A60" s="46" t="n">
        <v>13</v>
      </c>
      <c r="B60" s="38" t="str">
        <f aca="false">INDEX($A$12:$A$24,MATCH(LARGE($Y$12:$Y$24,13),$Y$12:$Y$24,0))</f>
        <v>Porto Esperidião</v>
      </c>
      <c r="C60" s="45" t="n">
        <f aca="false">INDEX($J$12:$J$24,MATCH(LARGE($Y$12:$Y$24,13),$Y$12:$Y$24,0))</f>
        <v>0.17245621005</v>
      </c>
      <c r="D60" s="36" t="str">
        <f aca="false">INDEX($O$12:$O$24,MATCH(LARGE($Y$12:$Y$24,13),$Y$12:$Y$24,0))</f>
        <v>Agropecuária</v>
      </c>
      <c r="F60" s="46" t="n">
        <v>13</v>
      </c>
      <c r="G60" s="38" t="str">
        <f aca="false">INDEX($A$12:$A$24,MATCH(LARGE($Z$12:$Z$24,13),$Z$12:$Z$24,0))</f>
        <v>Santo Antônio do Leverger</v>
      </c>
      <c r="H60" s="45" t="n">
        <f aca="false">INDEX($M$12:$M$24,MATCH(LARGE($Z$12:$Z$24,13),$Z$12:$Z$24,0))</f>
        <v>0.709354667726708</v>
      </c>
      <c r="I60" s="36" t="str">
        <f aca="false">INDEX($O$12:$O$24,MATCH(LARGE($Z$12:$Z$24,13),$Z$12:$Z$24,0))</f>
        <v>Agropecuária</v>
      </c>
      <c r="J60" s="44" t="n">
        <f aca="false">INDEX($P$12:$P$24,MATCH(LARGE($Z$12:$Z$24,13),$Z$12:$Z$24,0))</f>
        <v>0.650924066</v>
      </c>
    </row>
    <row r="62" customFormat="false" ht="30" hidden="false" customHeight="true" outlineLevel="0" collapsed="false">
      <c r="A62" s="50" t="s">
        <v>109</v>
      </c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</row>
    <row r="63" customFormat="false" ht="30" hidden="false" customHeight="true" outlineLevel="0" collapsed="false">
      <c r="A63" s="50" t="s">
        <v>110</v>
      </c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</row>
    <row r="64" customFormat="false" ht="30" hidden="false" customHeight="true" outlineLevel="0" collapsed="false">
      <c r="A64" s="50" t="s">
        <v>111</v>
      </c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</row>
    <row r="65" customFormat="false" ht="30" hidden="false" customHeight="true" outlineLevel="0" collapsed="false">
      <c r="A65" s="50" t="s">
        <v>112</v>
      </c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</row>
  </sheetData>
  <mergeCells count="10">
    <mergeCell ref="E10:H10"/>
    <mergeCell ref="A28:D28"/>
    <mergeCell ref="F28:I28"/>
    <mergeCell ref="K28:N28"/>
    <mergeCell ref="A46:D46"/>
    <mergeCell ref="F46:J46"/>
    <mergeCell ref="A62:N62"/>
    <mergeCell ref="A63:N63"/>
    <mergeCell ref="A64:N64"/>
    <mergeCell ref="A65:N65"/>
  </mergeCells>
  <conditionalFormatting sqref="J12:J24">
    <cfRule type="colorScale" priority="2">
      <colorScale>
        <cfvo type="min" val="0"/>
        <cfvo type="max" val="0"/>
        <color rgb="FFF8F8F8"/>
        <color rgb="FFF4B183"/>
      </colorScale>
    </cfRule>
  </conditionalFormatting>
  <conditionalFormatting sqref="M12:M24">
    <cfRule type="colorScale" priority="3">
      <colorScale>
        <cfvo type="min" val="0"/>
        <cfvo type="max" val="0"/>
        <color rgb="FFF8F8F8"/>
        <color rgb="FFA9D08E"/>
      </colorScale>
    </cfRule>
  </conditionalFormatting>
  <conditionalFormatting sqref="B12:D24">
    <cfRule type="cellIs" priority="4" operator="greaterThan" aboveAverage="0" equalAverage="0" bottom="0" percent="0" rank="0" text="" dxfId="0">
      <formula>1.2</formula>
    </cfRule>
    <cfRule type="cellIs" priority="5" operator="lessThan" aboveAverage="0" equalAverage="0" bottom="0" percent="0" rank="0" text="" dxfId="1">
      <formula>0.8</formula>
    </cfRule>
  </conditionalFormatting>
  <conditionalFormatting sqref="D30:D42">
    <cfRule type="cellIs" priority="6" operator="equal" aboveAverage="0" equalAverage="0" bottom="0" percent="0" rank="0" text="" dxfId="2">
      <formula>"Especializado"</formula>
    </cfRule>
    <cfRule type="cellIs" priority="7" operator="equal" aboveAverage="0" equalAverage="0" bottom="0" percent="0" rank="0" text="" dxfId="3">
      <formula>"Sub-representado"</formula>
    </cfRule>
  </conditionalFormatting>
  <conditionalFormatting sqref="I30:I42">
    <cfRule type="cellIs" priority="8" operator="equal" aboveAverage="0" equalAverage="0" bottom="0" percent="0" rank="0" text="" dxfId="2">
      <formula>"Especializado"</formula>
    </cfRule>
    <cfRule type="cellIs" priority="9" operator="equal" aboveAverage="0" equalAverage="0" bottom="0" percent="0" rank="0" text="" dxfId="3">
      <formula>"Sub-representado"</formula>
    </cfRule>
  </conditionalFormatting>
  <conditionalFormatting sqref="N30:N42">
    <cfRule type="cellIs" priority="10" operator="equal" aboveAverage="0" equalAverage="0" bottom="0" percent="0" rank="0" text="" dxfId="2">
      <formula>"Especializado"</formula>
    </cfRule>
    <cfRule type="cellIs" priority="11" operator="equal" aboveAverage="0" equalAverage="0" bottom="0" percent="0" rank="0" text="" dxfId="3">
      <formula>"Sub-representado"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T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"/>
    <col collapsed="false" customWidth="true" hidden="false" outlineLevel="0" max="3" min="3" style="1" width="10"/>
    <col collapsed="false" customWidth="true" hidden="false" outlineLevel="0" max="4" min="4" style="1" width="11"/>
    <col collapsed="false" customWidth="true" hidden="false" outlineLevel="0" max="5" min="5" style="1" width="10"/>
    <col collapsed="false" customWidth="true" hidden="false" outlineLevel="0" max="7" min="6" style="1" width="12"/>
    <col collapsed="false" customWidth="true" hidden="false" outlineLevel="0" max="8" min="8" style="1" width="9"/>
    <col collapsed="false" customWidth="true" hidden="false" outlineLevel="0" max="10" min="9" style="1" width="10"/>
    <col collapsed="false" customWidth="true" hidden="false" outlineLevel="0" max="11" min="11" style="1" width="12"/>
    <col collapsed="false" customWidth="true" hidden="false" outlineLevel="0" max="12" min="12" style="1" width="10"/>
    <col collapsed="false" customWidth="true" hidden="false" outlineLevel="0" max="13" min="13" style="1" width="9"/>
    <col collapsed="false" customWidth="true" hidden="false" outlineLevel="0" max="14" min="14" style="1" width="13"/>
    <col collapsed="false" customWidth="true" hidden="true" outlineLevel="0" max="20" min="20" style="1" width="13"/>
  </cols>
  <sheetData>
    <row r="1" customFormat="false" ht="17.25" hidden="false" customHeight="true" outlineLevel="0" collapsed="false">
      <c r="A1" s="51" t="s">
        <v>113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customFormat="false" ht="30" hidden="false" customHeight="true" outlineLevel="0" collapsed="false">
      <c r="A2" s="52" t="s">
        <v>114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</row>
    <row r="4" customFormat="false" ht="43.5" hidden="false" customHeight="true" outlineLevel="0" collapsed="false">
      <c r="A4" s="34" t="s">
        <v>37</v>
      </c>
      <c r="B4" s="34" t="s">
        <v>38</v>
      </c>
      <c r="C4" s="34" t="s">
        <v>39</v>
      </c>
      <c r="D4" s="34" t="s">
        <v>115</v>
      </c>
      <c r="E4" s="34" t="s">
        <v>116</v>
      </c>
      <c r="F4" s="34" t="s">
        <v>117</v>
      </c>
      <c r="G4" s="34" t="s">
        <v>43</v>
      </c>
      <c r="H4" s="34" t="s">
        <v>44</v>
      </c>
      <c r="I4" s="34" t="s">
        <v>118</v>
      </c>
      <c r="J4" s="34" t="s">
        <v>119</v>
      </c>
      <c r="K4" s="34" t="s">
        <v>120</v>
      </c>
      <c r="L4" s="34" t="s">
        <v>121</v>
      </c>
      <c r="M4" s="34" t="s">
        <v>122</v>
      </c>
      <c r="N4" s="34" t="s">
        <v>123</v>
      </c>
    </row>
    <row r="5" customFormat="false" ht="15" hidden="false" customHeight="true" outlineLevel="0" collapsed="false">
      <c r="A5" s="35" t="s">
        <v>46</v>
      </c>
      <c r="B5" s="53" t="n">
        <f aca="false">Painel!B4</f>
        <v>3</v>
      </c>
      <c r="C5" s="53" t="n">
        <f aca="false">Painel!C4</f>
        <v>10</v>
      </c>
      <c r="D5" s="53" t="n">
        <f aca="false">16-Painel!E4</f>
        <v>14</v>
      </c>
      <c r="E5" s="54" t="n">
        <f aca="false">D5/16</f>
        <v>0.875</v>
      </c>
      <c r="F5" s="55" t="n">
        <f aca="false">IF(D5=0,"",(B5-C5)/D5)</f>
        <v>-0.5</v>
      </c>
      <c r="G5" s="53" t="n">
        <f aca="false">Painel!G4</f>
        <v>3</v>
      </c>
      <c r="H5" s="53" t="n">
        <f aca="false">Painel!H4</f>
        <v>4</v>
      </c>
      <c r="I5" s="53" t="n">
        <f aca="false">COUNT('Fatores Externos (O-A)'!F$6:F$16)</f>
        <v>11</v>
      </c>
      <c r="J5" s="54" t="n">
        <f aca="false">I5/11</f>
        <v>1</v>
      </c>
      <c r="K5" s="55" t="n">
        <f aca="false">IF(I5=0,"",(G5-H5)/I5)</f>
        <v>-0.0909090909090909</v>
      </c>
      <c r="L5" s="56" t="n">
        <f aca="false">IF(F5="","",IF(K5="",F5,(F5+K5)/2))</f>
        <v>-0.295454545454545</v>
      </c>
      <c r="M5" s="46" t="n">
        <f aca="false">IF(L5="","",RANK(L5,$L$5:$L$17,0))</f>
        <v>8</v>
      </c>
      <c r="N5" s="49" t="str">
        <f aca="false">IF(AND(E5&gt;=0.75,J5&gt;=0.75),"Consolidado","PROVISÓRIO")</f>
        <v>Consolidado</v>
      </c>
      <c r="T5" s="1" t="n">
        <f aca="false">IF(L5="",-9,L5)-ROW()*0.000000001</f>
        <v>-0.295454550454546</v>
      </c>
    </row>
    <row r="6" customFormat="false" ht="15" hidden="false" customHeight="true" outlineLevel="0" collapsed="false">
      <c r="A6" s="35" t="s">
        <v>26</v>
      </c>
      <c r="B6" s="53" t="n">
        <f aca="false">Painel!B5</f>
        <v>3</v>
      </c>
      <c r="C6" s="53" t="n">
        <f aca="false">Painel!C5</f>
        <v>8</v>
      </c>
      <c r="D6" s="53" t="n">
        <f aca="false">16-Painel!E5</f>
        <v>14</v>
      </c>
      <c r="E6" s="54" t="n">
        <f aca="false">D6/16</f>
        <v>0.875</v>
      </c>
      <c r="F6" s="55" t="n">
        <f aca="false">IF(D6=0,"",(B6-C6)/D6)</f>
        <v>-0.357142857142857</v>
      </c>
      <c r="G6" s="53" t="n">
        <f aca="false">Painel!G5</f>
        <v>6</v>
      </c>
      <c r="H6" s="53" t="n">
        <f aca="false">Painel!H5</f>
        <v>4</v>
      </c>
      <c r="I6" s="53" t="n">
        <f aca="false">COUNT('Fatores Externos (O-A)'!G$6:G$16)</f>
        <v>11</v>
      </c>
      <c r="J6" s="54" t="n">
        <f aca="false">I6/11</f>
        <v>1</v>
      </c>
      <c r="K6" s="55" t="n">
        <f aca="false">IF(I6=0,"",(G6-H6)/I6)</f>
        <v>0.181818181818182</v>
      </c>
      <c r="L6" s="56" t="n">
        <f aca="false">IF(F6="","",IF(K6="",F6,(F6+K6)/2))</f>
        <v>-0.0876623376623377</v>
      </c>
      <c r="M6" s="46" t="n">
        <f aca="false">IF(L6="","",RANK(L6,$L$5:$L$17,0))</f>
        <v>4</v>
      </c>
      <c r="N6" s="49" t="str">
        <f aca="false">IF(AND(E6&gt;=0.75,J6&gt;=0.75),"Consolidado","PROVISÓRIO")</f>
        <v>Consolidado</v>
      </c>
      <c r="T6" s="1" t="n">
        <f aca="false">IF(L6="",-9,L6)-ROW()*0.000000001</f>
        <v>-0.0876623436623377</v>
      </c>
    </row>
    <row r="7" customFormat="false" ht="15" hidden="false" customHeight="true" outlineLevel="0" collapsed="false">
      <c r="A7" s="35" t="s">
        <v>47</v>
      </c>
      <c r="B7" s="53" t="n">
        <f aca="false">Painel!B6</f>
        <v>3</v>
      </c>
      <c r="C7" s="53" t="n">
        <f aca="false">Painel!C6</f>
        <v>10</v>
      </c>
      <c r="D7" s="53" t="n">
        <f aca="false">16-Painel!E6</f>
        <v>14</v>
      </c>
      <c r="E7" s="54" t="n">
        <f aca="false">D7/16</f>
        <v>0.875</v>
      </c>
      <c r="F7" s="55" t="n">
        <f aca="false">IF(D7=0,"",(B7-C7)/D7)</f>
        <v>-0.5</v>
      </c>
      <c r="G7" s="53" t="n">
        <f aca="false">Painel!G6</f>
        <v>2</v>
      </c>
      <c r="H7" s="53" t="n">
        <f aca="false">Painel!H6</f>
        <v>3</v>
      </c>
      <c r="I7" s="53" t="n">
        <f aca="false">COUNT('Fatores Externos (O-A)'!H$6:H$16)</f>
        <v>11</v>
      </c>
      <c r="J7" s="54" t="n">
        <f aca="false">I7/11</f>
        <v>1</v>
      </c>
      <c r="K7" s="55" t="n">
        <f aca="false">IF(I7=0,"",(G7-H7)/I7)</f>
        <v>-0.0909090909090909</v>
      </c>
      <c r="L7" s="56" t="n">
        <f aca="false">IF(F7="","",IF(K7="",F7,(F7+K7)/2))</f>
        <v>-0.295454545454545</v>
      </c>
      <c r="M7" s="46" t="n">
        <f aca="false">IF(L7="","",RANK(L7,$L$5:$L$17,0))</f>
        <v>8</v>
      </c>
      <c r="N7" s="49" t="str">
        <f aca="false">IF(AND(E7&gt;=0.75,J7&gt;=0.75),"Consolidado","PROVISÓRIO")</f>
        <v>Consolidado</v>
      </c>
      <c r="T7" s="1" t="n">
        <f aca="false">IF(L7="",-9,L7)-ROW()*0.000000001</f>
        <v>-0.295454552454546</v>
      </c>
    </row>
    <row r="8" customFormat="false" ht="15" hidden="false" customHeight="true" outlineLevel="0" collapsed="false">
      <c r="A8" s="35" t="s">
        <v>48</v>
      </c>
      <c r="B8" s="53" t="n">
        <f aca="false">Painel!B7</f>
        <v>3</v>
      </c>
      <c r="C8" s="53" t="n">
        <f aca="false">Painel!C7</f>
        <v>10</v>
      </c>
      <c r="D8" s="53" t="n">
        <f aca="false">16-Painel!E7</f>
        <v>14</v>
      </c>
      <c r="E8" s="54" t="n">
        <f aca="false">D8/16</f>
        <v>0.875</v>
      </c>
      <c r="F8" s="55" t="n">
        <f aca="false">IF(D8=0,"",(B8-C8)/D8)</f>
        <v>-0.5</v>
      </c>
      <c r="G8" s="53" t="n">
        <f aca="false">Painel!G7</f>
        <v>2</v>
      </c>
      <c r="H8" s="53" t="n">
        <f aca="false">Painel!H7</f>
        <v>3</v>
      </c>
      <c r="I8" s="53" t="n">
        <f aca="false">COUNT('Fatores Externos (O-A)'!I$6:I$16)</f>
        <v>11</v>
      </c>
      <c r="J8" s="54" t="n">
        <f aca="false">I8/11</f>
        <v>1</v>
      </c>
      <c r="K8" s="55" t="n">
        <f aca="false">IF(I8=0,"",(G8-H8)/I8)</f>
        <v>-0.0909090909090909</v>
      </c>
      <c r="L8" s="56" t="n">
        <f aca="false">IF(F8="","",IF(K8="",F8,(F8+K8)/2))</f>
        <v>-0.295454545454545</v>
      </c>
      <c r="M8" s="46" t="n">
        <f aca="false">IF(L8="","",RANK(L8,$L$5:$L$17,0))</f>
        <v>8</v>
      </c>
      <c r="N8" s="49" t="str">
        <f aca="false">IF(AND(E8&gt;=0.75,J8&gt;=0.75),"Consolidado","PROVISÓRIO")</f>
        <v>Consolidado</v>
      </c>
      <c r="T8" s="1" t="n">
        <f aca="false">IF(L8="",-9,L8)-ROW()*0.000000001</f>
        <v>-0.295454553454545</v>
      </c>
    </row>
    <row r="9" customFormat="false" ht="15" hidden="false" customHeight="true" outlineLevel="0" collapsed="false">
      <c r="A9" s="35" t="s">
        <v>49</v>
      </c>
      <c r="B9" s="53" t="n">
        <f aca="false">Painel!B8</f>
        <v>7</v>
      </c>
      <c r="C9" s="53" t="n">
        <f aca="false">Painel!C8</f>
        <v>6</v>
      </c>
      <c r="D9" s="53" t="n">
        <f aca="false">16-Painel!E8</f>
        <v>14</v>
      </c>
      <c r="E9" s="54" t="n">
        <f aca="false">D9/16</f>
        <v>0.875</v>
      </c>
      <c r="F9" s="55" t="n">
        <f aca="false">IF(D9=0,"",(B9-C9)/D9)</f>
        <v>0.0714285714285714</v>
      </c>
      <c r="G9" s="53" t="n">
        <f aca="false">Painel!G8</f>
        <v>5</v>
      </c>
      <c r="H9" s="53" t="n">
        <f aca="false">Painel!H8</f>
        <v>5</v>
      </c>
      <c r="I9" s="53" t="n">
        <f aca="false">COUNT('Fatores Externos (O-A)'!J$6:J$16)</f>
        <v>11</v>
      </c>
      <c r="J9" s="54" t="n">
        <f aca="false">I9/11</f>
        <v>1</v>
      </c>
      <c r="K9" s="55" t="n">
        <f aca="false">IF(I9=0,"",(G9-H9)/I9)</f>
        <v>0</v>
      </c>
      <c r="L9" s="56" t="n">
        <f aca="false">IF(F9="","",IF(K9="",F9,(F9+K9)/2))</f>
        <v>0.0357142857142857</v>
      </c>
      <c r="M9" s="46" t="n">
        <f aca="false">IF(L9="","",RANK(L9,$L$5:$L$17,0))</f>
        <v>2</v>
      </c>
      <c r="N9" s="49" t="str">
        <f aca="false">IF(AND(E9&gt;=0.75,J9&gt;=0.75),"Consolidado","PROVISÓRIO")</f>
        <v>Consolidado</v>
      </c>
      <c r="T9" s="1" t="n">
        <f aca="false">IF(L9="",-9,L9)-ROW()*0.000000001</f>
        <v>0.0357142767142857</v>
      </c>
    </row>
    <row r="10" customFormat="false" ht="15" hidden="false" customHeight="true" outlineLevel="0" collapsed="false">
      <c r="A10" s="35" t="s">
        <v>50</v>
      </c>
      <c r="B10" s="53" t="n">
        <f aca="false">Painel!B9</f>
        <v>3</v>
      </c>
      <c r="C10" s="53" t="n">
        <f aca="false">Painel!C9</f>
        <v>7</v>
      </c>
      <c r="D10" s="53" t="n">
        <f aca="false">16-Painel!E9</f>
        <v>14</v>
      </c>
      <c r="E10" s="54" t="n">
        <f aca="false">D10/16</f>
        <v>0.875</v>
      </c>
      <c r="F10" s="55" t="n">
        <f aca="false">IF(D10=0,"",(B10-C10)/D10)</f>
        <v>-0.285714285714286</v>
      </c>
      <c r="G10" s="53" t="n">
        <f aca="false">Painel!G9</f>
        <v>5</v>
      </c>
      <c r="H10" s="53" t="n">
        <f aca="false">Painel!H9</f>
        <v>4</v>
      </c>
      <c r="I10" s="53" t="n">
        <f aca="false">COUNT('Fatores Externos (O-A)'!K$6:K$16)</f>
        <v>11</v>
      </c>
      <c r="J10" s="54" t="n">
        <f aca="false">I10/11</f>
        <v>1</v>
      </c>
      <c r="K10" s="55" t="n">
        <f aca="false">IF(I10=0,"",(G10-H10)/I10)</f>
        <v>0.0909090909090909</v>
      </c>
      <c r="L10" s="56" t="n">
        <f aca="false">IF(F10="","",IF(K10="",F10,(F10+K10)/2))</f>
        <v>-0.0974025974025974</v>
      </c>
      <c r="M10" s="46" t="n">
        <f aca="false">IF(L10="","",RANK(L10,$L$5:$L$17,0))</f>
        <v>5</v>
      </c>
      <c r="N10" s="49" t="str">
        <f aca="false">IF(AND(E10&gt;=0.75,J10&gt;=0.75),"Consolidado","PROVISÓRIO")</f>
        <v>Consolidado</v>
      </c>
      <c r="T10" s="1" t="n">
        <f aca="false">IF(L10="",-9,L10)-ROW()*0.000000001</f>
        <v>-0.0974026074025974</v>
      </c>
    </row>
    <row r="11" customFormat="false" ht="15" hidden="false" customHeight="true" outlineLevel="0" collapsed="false">
      <c r="A11" s="35" t="s">
        <v>51</v>
      </c>
      <c r="B11" s="53" t="n">
        <f aca="false">Painel!B10</f>
        <v>2</v>
      </c>
      <c r="C11" s="53" t="n">
        <f aca="false">Painel!C10</f>
        <v>9</v>
      </c>
      <c r="D11" s="53" t="n">
        <f aca="false">16-Painel!E10</f>
        <v>14</v>
      </c>
      <c r="E11" s="54" t="n">
        <f aca="false">D11/16</f>
        <v>0.875</v>
      </c>
      <c r="F11" s="55" t="n">
        <f aca="false">IF(D11=0,"",(B11-C11)/D11)</f>
        <v>-0.5</v>
      </c>
      <c r="G11" s="53" t="n">
        <f aca="false">Painel!G10</f>
        <v>3</v>
      </c>
      <c r="H11" s="53" t="n">
        <f aca="false">Painel!H10</f>
        <v>4</v>
      </c>
      <c r="I11" s="53" t="n">
        <f aca="false">COUNT('Fatores Externos (O-A)'!L$6:L$16)</f>
        <v>11</v>
      </c>
      <c r="J11" s="54" t="n">
        <f aca="false">I11/11</f>
        <v>1</v>
      </c>
      <c r="K11" s="55" t="n">
        <f aca="false">IF(I11=0,"",(G11-H11)/I11)</f>
        <v>-0.0909090909090909</v>
      </c>
      <c r="L11" s="56" t="n">
        <f aca="false">IF(F11="","",IF(K11="",F11,(F11+K11)/2))</f>
        <v>-0.295454545454545</v>
      </c>
      <c r="M11" s="46" t="n">
        <f aca="false">IF(L11="","",RANK(L11,$L$5:$L$17,0))</f>
        <v>8</v>
      </c>
      <c r="N11" s="49" t="str">
        <f aca="false">IF(AND(E11&gt;=0.75,J11&gt;=0.75),"Consolidado","PROVISÓRIO")</f>
        <v>Consolidado</v>
      </c>
      <c r="T11" s="1" t="n">
        <f aca="false">IF(L11="",-9,L11)-ROW()*0.000000001</f>
        <v>-0.295454556454546</v>
      </c>
    </row>
    <row r="12" customFormat="false" ht="15" hidden="false" customHeight="true" outlineLevel="0" collapsed="false">
      <c r="A12" s="35" t="s">
        <v>52</v>
      </c>
      <c r="B12" s="53" t="n">
        <f aca="false">Painel!B11</f>
        <v>2</v>
      </c>
      <c r="C12" s="53" t="n">
        <f aca="false">Painel!C11</f>
        <v>8</v>
      </c>
      <c r="D12" s="53" t="n">
        <f aca="false">16-Painel!E11</f>
        <v>14</v>
      </c>
      <c r="E12" s="54" t="n">
        <f aca="false">D12/16</f>
        <v>0.875</v>
      </c>
      <c r="F12" s="55" t="n">
        <f aca="false">IF(D12=0,"",(B12-C12)/D12)</f>
        <v>-0.428571428571429</v>
      </c>
      <c r="G12" s="53" t="n">
        <f aca="false">Painel!G11</f>
        <v>4</v>
      </c>
      <c r="H12" s="53" t="n">
        <f aca="false">Painel!H11</f>
        <v>1</v>
      </c>
      <c r="I12" s="53" t="n">
        <f aca="false">COUNT('Fatores Externos (O-A)'!M$6:M$16)</f>
        <v>11</v>
      </c>
      <c r="J12" s="54" t="n">
        <f aca="false">I12/11</f>
        <v>1</v>
      </c>
      <c r="K12" s="55" t="n">
        <f aca="false">IF(I12=0,"",(G12-H12)/I12)</f>
        <v>0.272727272727273</v>
      </c>
      <c r="L12" s="56" t="n">
        <f aca="false">IF(F12="","",IF(K12="",F12,(F12+K12)/2))</f>
        <v>-0.0779220779220779</v>
      </c>
      <c r="M12" s="46" t="n">
        <f aca="false">IF(L12="","",RANK(L12,$L$5:$L$17,0))</f>
        <v>3</v>
      </c>
      <c r="N12" s="49" t="str">
        <f aca="false">IF(AND(E12&gt;=0.75,J12&gt;=0.75),"Consolidado","PROVISÓRIO")</f>
        <v>Consolidado</v>
      </c>
      <c r="T12" s="1" t="n">
        <f aca="false">IF(L12="",-9,L12)-ROW()*0.000000001</f>
        <v>-0.0779220899220779</v>
      </c>
    </row>
    <row r="13" customFormat="false" ht="23.25" hidden="false" customHeight="true" outlineLevel="0" collapsed="false">
      <c r="A13" s="35" t="s">
        <v>53</v>
      </c>
      <c r="B13" s="53" t="n">
        <f aca="false">Painel!B12</f>
        <v>4</v>
      </c>
      <c r="C13" s="53" t="n">
        <f aca="false">Painel!C12</f>
        <v>8</v>
      </c>
      <c r="D13" s="53" t="n">
        <f aca="false">16-Painel!E12</f>
        <v>14</v>
      </c>
      <c r="E13" s="54" t="n">
        <f aca="false">D13/16</f>
        <v>0.875</v>
      </c>
      <c r="F13" s="55" t="n">
        <f aca="false">IF(D13=0,"",(B13-C13)/D13)</f>
        <v>-0.285714285714286</v>
      </c>
      <c r="G13" s="53" t="n">
        <f aca="false">Painel!G12</f>
        <v>4</v>
      </c>
      <c r="H13" s="53" t="n">
        <f aca="false">Painel!H12</f>
        <v>3</v>
      </c>
      <c r="I13" s="53" t="n">
        <f aca="false">COUNT('Fatores Externos (O-A)'!N$6:N$16)</f>
        <v>11</v>
      </c>
      <c r="J13" s="54" t="n">
        <f aca="false">I13/11</f>
        <v>1</v>
      </c>
      <c r="K13" s="55" t="n">
        <f aca="false">IF(I13=0,"",(G13-H13)/I13)</f>
        <v>0.0909090909090909</v>
      </c>
      <c r="L13" s="56" t="n">
        <f aca="false">IF(F13="","",IF(K13="",F13,(F13+K13)/2))</f>
        <v>-0.0974025974025974</v>
      </c>
      <c r="M13" s="46" t="n">
        <f aca="false">IF(L13="","",RANK(L13,$L$5:$L$17,0))</f>
        <v>5</v>
      </c>
      <c r="N13" s="49" t="str">
        <f aca="false">IF(AND(E13&gt;=0.75,J13&gt;=0.75),"Consolidado","PROVISÓRIO")</f>
        <v>Consolidado</v>
      </c>
      <c r="T13" s="1" t="n">
        <f aca="false">IF(L13="",-9,L13)-ROW()*0.000000001</f>
        <v>-0.0974026104025974</v>
      </c>
    </row>
    <row r="14" customFormat="false" ht="15" hidden="false" customHeight="true" outlineLevel="0" collapsed="false">
      <c r="A14" s="35" t="s">
        <v>54</v>
      </c>
      <c r="B14" s="53" t="n">
        <f aca="false">Painel!B13</f>
        <v>1</v>
      </c>
      <c r="C14" s="53" t="n">
        <f aca="false">Painel!C13</f>
        <v>11</v>
      </c>
      <c r="D14" s="53" t="n">
        <f aca="false">16-Painel!E13</f>
        <v>14</v>
      </c>
      <c r="E14" s="54" t="n">
        <f aca="false">D14/16</f>
        <v>0.875</v>
      </c>
      <c r="F14" s="55" t="n">
        <f aca="false">IF(D14=0,"",(B14-C14)/D14)</f>
        <v>-0.714285714285714</v>
      </c>
      <c r="G14" s="53" t="n">
        <f aca="false">Painel!G13</f>
        <v>4</v>
      </c>
      <c r="H14" s="53" t="n">
        <f aca="false">Painel!H13</f>
        <v>4</v>
      </c>
      <c r="I14" s="53" t="n">
        <f aca="false">COUNT('Fatores Externos (O-A)'!O$6:O$16)</f>
        <v>11</v>
      </c>
      <c r="J14" s="54" t="n">
        <f aca="false">I14/11</f>
        <v>1</v>
      </c>
      <c r="K14" s="55" t="n">
        <f aca="false">IF(I14=0,"",(G14-H14)/I14)</f>
        <v>0</v>
      </c>
      <c r="L14" s="56" t="n">
        <f aca="false">IF(F14="","",IF(K14="",F14,(F14+K14)/2))</f>
        <v>-0.357142857142857</v>
      </c>
      <c r="M14" s="46" t="n">
        <f aca="false">IF(L14="","",RANK(L14,$L$5:$L$17,0))</f>
        <v>13</v>
      </c>
      <c r="N14" s="49" t="str">
        <f aca="false">IF(AND(E14&gt;=0.75,J14&gt;=0.75),"Consolidado","PROVISÓRIO")</f>
        <v>Consolidado</v>
      </c>
      <c r="T14" s="1" t="n">
        <f aca="false">IF(L14="",-9,L14)-ROW()*0.000000001</f>
        <v>-0.357142871142857</v>
      </c>
    </row>
    <row r="15" customFormat="false" ht="15" hidden="false" customHeight="true" outlineLevel="0" collapsed="false">
      <c r="A15" s="35" t="s">
        <v>55</v>
      </c>
      <c r="B15" s="53" t="n">
        <f aca="false">Painel!B14</f>
        <v>3</v>
      </c>
      <c r="C15" s="53" t="n">
        <f aca="false">Painel!C14</f>
        <v>9</v>
      </c>
      <c r="D15" s="53" t="n">
        <f aca="false">16-Painel!E14</f>
        <v>14</v>
      </c>
      <c r="E15" s="54" t="n">
        <f aca="false">D15/16</f>
        <v>0.875</v>
      </c>
      <c r="F15" s="55" t="n">
        <f aca="false">IF(D15=0,"",(B15-C15)/D15)</f>
        <v>-0.428571428571429</v>
      </c>
      <c r="G15" s="53" t="n">
        <f aca="false">Painel!G14</f>
        <v>3</v>
      </c>
      <c r="H15" s="53" t="n">
        <f aca="false">Painel!H14</f>
        <v>4</v>
      </c>
      <c r="I15" s="53" t="n">
        <f aca="false">COUNT('Fatores Externos (O-A)'!P$6:P$16)</f>
        <v>11</v>
      </c>
      <c r="J15" s="54" t="n">
        <f aca="false">I15/11</f>
        <v>1</v>
      </c>
      <c r="K15" s="55" t="n">
        <f aca="false">IF(I15=0,"",(G15-H15)/I15)</f>
        <v>-0.0909090909090909</v>
      </c>
      <c r="L15" s="56" t="n">
        <f aca="false">IF(F15="","",IF(K15="",F15,(F15+K15)/2))</f>
        <v>-0.25974025974026</v>
      </c>
      <c r="M15" s="46" t="n">
        <f aca="false">IF(L15="","",RANK(L15,$L$5:$L$17,0))</f>
        <v>7</v>
      </c>
      <c r="N15" s="49" t="str">
        <f aca="false">IF(AND(E15&gt;=0.75,J15&gt;=0.75),"Consolidado","PROVISÓRIO")</f>
        <v>Consolidado</v>
      </c>
      <c r="T15" s="1" t="n">
        <f aca="false">IF(L15="",-9,L15)-ROW()*0.000000001</f>
        <v>-0.25974027474026</v>
      </c>
    </row>
    <row r="16" customFormat="false" ht="15" hidden="false" customHeight="true" outlineLevel="0" collapsed="false">
      <c r="A16" s="35" t="s">
        <v>56</v>
      </c>
      <c r="B16" s="53" t="n">
        <f aca="false">Painel!B15</f>
        <v>4</v>
      </c>
      <c r="C16" s="53" t="n">
        <f aca="false">Painel!C15</f>
        <v>3</v>
      </c>
      <c r="D16" s="53" t="n">
        <f aca="false">16-Painel!E15</f>
        <v>14</v>
      </c>
      <c r="E16" s="54" t="n">
        <f aca="false">D16/16</f>
        <v>0.875</v>
      </c>
      <c r="F16" s="55" t="n">
        <f aca="false">IF(D16=0,"",(B16-C16)/D16)</f>
        <v>0.0714285714285714</v>
      </c>
      <c r="G16" s="53" t="n">
        <f aca="false">Painel!G15</f>
        <v>5</v>
      </c>
      <c r="H16" s="53" t="n">
        <f aca="false">Painel!H15</f>
        <v>3</v>
      </c>
      <c r="I16" s="53" t="n">
        <f aca="false">COUNT('Fatores Externos (O-A)'!Q$6:Q$16)</f>
        <v>11</v>
      </c>
      <c r="J16" s="54" t="n">
        <f aca="false">I16/11</f>
        <v>1</v>
      </c>
      <c r="K16" s="55" t="n">
        <f aca="false">IF(I16=0,"",(G16-H16)/I16)</f>
        <v>0.181818181818182</v>
      </c>
      <c r="L16" s="56" t="n">
        <f aca="false">IF(F16="","",IF(K16="",F16,(F16+K16)/2))</f>
        <v>0.126623376623377</v>
      </c>
      <c r="M16" s="46" t="n">
        <f aca="false">IF(L16="","",RANK(L16,$L$5:$L$17,0))</f>
        <v>1</v>
      </c>
      <c r="N16" s="49" t="str">
        <f aca="false">IF(AND(E16&gt;=0.75,J16&gt;=0.75),"Consolidado","PROVISÓRIO")</f>
        <v>Consolidado</v>
      </c>
      <c r="T16" s="1" t="n">
        <f aca="false">IF(L16="",-9,L16)-ROW()*0.000000001</f>
        <v>0.126623360623377</v>
      </c>
    </row>
    <row r="17" customFormat="false" ht="15" hidden="false" customHeight="true" outlineLevel="0" collapsed="false">
      <c r="A17" s="35" t="s">
        <v>57</v>
      </c>
      <c r="B17" s="53" t="n">
        <f aca="false">Painel!B16</f>
        <v>2</v>
      </c>
      <c r="C17" s="53" t="n">
        <f aca="false">Painel!C16</f>
        <v>11</v>
      </c>
      <c r="D17" s="53" t="n">
        <f aca="false">16-Painel!E16</f>
        <v>14</v>
      </c>
      <c r="E17" s="54" t="n">
        <f aca="false">D17/16</f>
        <v>0.875</v>
      </c>
      <c r="F17" s="55" t="n">
        <f aca="false">IF(D17=0,"",(B17-C17)/D17)</f>
        <v>-0.642857142857143</v>
      </c>
      <c r="G17" s="53" t="n">
        <f aca="false">Painel!G16</f>
        <v>5</v>
      </c>
      <c r="H17" s="53" t="n">
        <f aca="false">Painel!H16</f>
        <v>5</v>
      </c>
      <c r="I17" s="53" t="n">
        <f aca="false">COUNT('Fatores Externos (O-A)'!R$6:R$16)</f>
        <v>11</v>
      </c>
      <c r="J17" s="54" t="n">
        <f aca="false">I17/11</f>
        <v>1</v>
      </c>
      <c r="K17" s="55" t="n">
        <f aca="false">IF(I17=0,"",(G17-H17)/I17)</f>
        <v>0</v>
      </c>
      <c r="L17" s="56" t="n">
        <f aca="false">IF(F17="","",IF(K17="",F17,(F17+K17)/2))</f>
        <v>-0.321428571428571</v>
      </c>
      <c r="M17" s="46" t="n">
        <f aca="false">IF(L17="","",RANK(L17,$L$5:$L$17,0))</f>
        <v>12</v>
      </c>
      <c r="N17" s="49" t="str">
        <f aca="false">IF(AND(E17&gt;=0.75,J17&gt;=0.75),"Consolidado","PROVISÓRIO")</f>
        <v>Consolidado</v>
      </c>
      <c r="T17" s="1" t="n">
        <f aca="false">IF(L17="",-9,L17)-ROW()*0.000000001</f>
        <v>-0.321428588428571</v>
      </c>
    </row>
    <row r="20" customFormat="false" ht="15" hidden="false" customHeight="true" outlineLevel="0" collapsed="false">
      <c r="A20" s="47" t="s">
        <v>124</v>
      </c>
    </row>
    <row r="21" customFormat="false" ht="23.25" hidden="false" customHeight="true" outlineLevel="0" collapsed="false">
      <c r="A21" s="34" t="s">
        <v>122</v>
      </c>
      <c r="B21" s="34" t="s">
        <v>37</v>
      </c>
      <c r="C21" s="34" t="s">
        <v>121</v>
      </c>
      <c r="D21" s="34" t="s">
        <v>116</v>
      </c>
      <c r="E21" s="34" t="s">
        <v>119</v>
      </c>
      <c r="F21" s="34" t="s">
        <v>123</v>
      </c>
    </row>
    <row r="22" customFormat="false" ht="15" hidden="false" customHeight="true" outlineLevel="0" collapsed="false">
      <c r="A22" s="46" t="n">
        <f aca="false">INDEX($M$5:$M$17,MATCH(LARGE($T$5:$T$17,1),$T$5:$T$17,0))</f>
        <v>1</v>
      </c>
      <c r="B22" s="38" t="str">
        <f aca="false">INDEX($A$5:$A$17,MATCH(LARGE($T$5:$T$17,1),$T$5:$T$17,0))</f>
        <v>Rondonópolis</v>
      </c>
      <c r="C22" s="55" t="n">
        <f aca="false">INDEX($L$5:$L$17,MATCH(LARGE($T$5:$T$17,1),$T$5:$T$17,0))</f>
        <v>0.126623376623377</v>
      </c>
      <c r="D22" s="54" t="n">
        <f aca="false">INDEX($E$5:$E$17,MATCH(LARGE($T$5:$T$17,1),$T$5:$T$17,0))</f>
        <v>0.875</v>
      </c>
      <c r="E22" s="54" t="n">
        <f aca="false">INDEX($J$5:$J$17,MATCH(LARGE($T$5:$T$17,1),$T$5:$T$17,0))</f>
        <v>1</v>
      </c>
      <c r="F22" s="49" t="str">
        <f aca="false">INDEX($N$5:$N$17,MATCH(LARGE($T$5:$T$17,1),$T$5:$T$17,0))</f>
        <v>Consolidado</v>
      </c>
    </row>
    <row r="23" customFormat="false" ht="23.25" hidden="false" customHeight="true" outlineLevel="0" collapsed="false">
      <c r="A23" s="46" t="n">
        <f aca="false">INDEX($M$5:$M$17,MATCH(LARGE($T$5:$T$17,2),$T$5:$T$17,0))</f>
        <v>2</v>
      </c>
      <c r="B23" s="38" t="str">
        <f aca="false">INDEX($A$5:$A$17,MATCH(LARGE($T$5:$T$17,2),$T$5:$T$17,0))</f>
        <v>Itiquira</v>
      </c>
      <c r="C23" s="55" t="n">
        <f aca="false">INDEX($L$5:$L$17,MATCH(LARGE($T$5:$T$17,2),$T$5:$T$17,0))</f>
        <v>0.0357142857142857</v>
      </c>
      <c r="D23" s="54" t="n">
        <f aca="false">INDEX($E$5:$E$17,MATCH(LARGE($T$5:$T$17,2),$T$5:$T$17,0))</f>
        <v>0.875</v>
      </c>
      <c r="E23" s="54" t="n">
        <f aca="false">INDEX($J$5:$J$17,MATCH(LARGE($T$5:$T$17,2),$T$5:$T$17,0))</f>
        <v>1</v>
      </c>
      <c r="F23" s="49" t="str">
        <f aca="false">INDEX($N$5:$N$17,MATCH(LARGE($T$5:$T$17,2),$T$5:$T$17,0))</f>
        <v>Consolidado</v>
      </c>
    </row>
    <row r="24" customFormat="false" ht="23.25" hidden="false" customHeight="true" outlineLevel="0" collapsed="false">
      <c r="A24" s="46" t="n">
        <f aca="false">INDEX($M$5:$M$17,MATCH(LARGE($T$5:$T$17,3),$T$5:$T$17,0))</f>
        <v>3</v>
      </c>
      <c r="B24" s="38" t="str">
        <f aca="false">INDEX($A$5:$A$17,MATCH(LARGE($T$5:$T$17,3),$T$5:$T$17,0))</f>
        <v>Mirassol D'Oeste</v>
      </c>
      <c r="C24" s="55" t="n">
        <f aca="false">INDEX($L$5:$L$17,MATCH(LARGE($T$5:$T$17,3),$T$5:$T$17,0))</f>
        <v>-0.0779220779220779</v>
      </c>
      <c r="D24" s="54" t="n">
        <f aca="false">INDEX($E$5:$E$17,MATCH(LARGE($T$5:$T$17,3),$T$5:$T$17,0))</f>
        <v>0.875</v>
      </c>
      <c r="E24" s="54" t="n">
        <f aca="false">INDEX($J$5:$J$17,MATCH(LARGE($T$5:$T$17,3),$T$5:$T$17,0))</f>
        <v>1</v>
      </c>
      <c r="F24" s="49" t="str">
        <f aca="false">INDEX($N$5:$N$17,MATCH(LARGE($T$5:$T$17,3),$T$5:$T$17,0))</f>
        <v>Consolidado</v>
      </c>
    </row>
    <row r="25" customFormat="false" ht="23.25" hidden="false" customHeight="true" outlineLevel="0" collapsed="false">
      <c r="A25" s="46" t="n">
        <f aca="false">INDEX($M$5:$M$17,MATCH(LARGE($T$5:$T$17,4),$T$5:$T$17,0))</f>
        <v>4</v>
      </c>
      <c r="B25" s="38" t="str">
        <f aca="false">INDEX($A$5:$A$17,MATCH(LARGE($T$5:$T$17,4),$T$5:$T$17,0))</f>
        <v>Cáceres</v>
      </c>
      <c r="C25" s="55" t="n">
        <f aca="false">INDEX($L$5:$L$17,MATCH(LARGE($T$5:$T$17,4),$T$5:$T$17,0))</f>
        <v>-0.0876623376623377</v>
      </c>
      <c r="D25" s="54" t="n">
        <f aca="false">INDEX($E$5:$E$17,MATCH(LARGE($T$5:$T$17,4),$T$5:$T$17,0))</f>
        <v>0.875</v>
      </c>
      <c r="E25" s="54" t="n">
        <f aca="false">INDEX($J$5:$J$17,MATCH(LARGE($T$5:$T$17,4),$T$5:$T$17,0))</f>
        <v>1</v>
      </c>
      <c r="F25" s="49" t="str">
        <f aca="false">INDEX($N$5:$N$17,MATCH(LARGE($T$5:$T$17,4),$T$5:$T$17,0))</f>
        <v>Consolidado</v>
      </c>
    </row>
    <row r="26" customFormat="false" ht="23.25" hidden="false" customHeight="true" outlineLevel="0" collapsed="false">
      <c r="A26" s="46" t="n">
        <f aca="false">INDEX($M$5:$M$17,MATCH(LARGE($T$5:$T$17,5),$T$5:$T$17,0))</f>
        <v>5</v>
      </c>
      <c r="B26" s="38" t="str">
        <f aca="false">INDEX($A$5:$A$17,MATCH(LARGE($T$5:$T$17,5),$T$5:$T$17,0))</f>
        <v>Juscimeira</v>
      </c>
      <c r="C26" s="55" t="n">
        <f aca="false">INDEX($L$5:$L$17,MATCH(LARGE($T$5:$T$17,5),$T$5:$T$17,0))</f>
        <v>-0.0974025974025974</v>
      </c>
      <c r="D26" s="54" t="n">
        <f aca="false">INDEX($E$5:$E$17,MATCH(LARGE($T$5:$T$17,5),$T$5:$T$17,0))</f>
        <v>0.875</v>
      </c>
      <c r="E26" s="54" t="n">
        <f aca="false">INDEX($J$5:$J$17,MATCH(LARGE($T$5:$T$17,5),$T$5:$T$17,0))</f>
        <v>1</v>
      </c>
      <c r="F26" s="49" t="str">
        <f aca="false">INDEX($N$5:$N$17,MATCH(LARGE($T$5:$T$17,5),$T$5:$T$17,0))</f>
        <v>Consolidado</v>
      </c>
    </row>
    <row r="27" customFormat="false" ht="15" hidden="false" customHeight="true" outlineLevel="0" collapsed="false">
      <c r="A27" s="46" t="n">
        <f aca="false">INDEX($M$5:$M$17,MATCH(LARGE($T$5:$T$17,6),$T$5:$T$17,0))</f>
        <v>5</v>
      </c>
      <c r="B27" s="38" t="str">
        <f aca="false">INDEX($A$5:$A$17,MATCH(LARGE($T$5:$T$17,6),$T$5:$T$17,0))</f>
        <v>Nossa Senhora do Livramento</v>
      </c>
      <c r="C27" s="55" t="n">
        <f aca="false">INDEX($L$5:$L$17,MATCH(LARGE($T$5:$T$17,6),$T$5:$T$17,0))</f>
        <v>-0.0974025974025974</v>
      </c>
      <c r="D27" s="54" t="n">
        <f aca="false">INDEX($E$5:$E$17,MATCH(LARGE($T$5:$T$17,6),$T$5:$T$17,0))</f>
        <v>0.875</v>
      </c>
      <c r="E27" s="54" t="n">
        <f aca="false">INDEX($J$5:$J$17,MATCH(LARGE($T$5:$T$17,6),$T$5:$T$17,0))</f>
        <v>1</v>
      </c>
      <c r="F27" s="49" t="str">
        <f aca="false">INDEX($N$5:$N$17,MATCH(LARGE($T$5:$T$17,6),$T$5:$T$17,0))</f>
        <v>Consolidado</v>
      </c>
    </row>
    <row r="28" customFormat="false" ht="23.25" hidden="false" customHeight="true" outlineLevel="0" collapsed="false">
      <c r="A28" s="46" t="n">
        <f aca="false">INDEX($M$5:$M$17,MATCH(LARGE($T$5:$T$17,7),$T$5:$T$17,0))</f>
        <v>7</v>
      </c>
      <c r="B28" s="38" t="str">
        <f aca="false">INDEX($A$5:$A$17,MATCH(LARGE($T$5:$T$17,7),$T$5:$T$17,0))</f>
        <v>Porto Esperidião</v>
      </c>
      <c r="C28" s="55" t="n">
        <f aca="false">INDEX($L$5:$L$17,MATCH(LARGE($T$5:$T$17,7),$T$5:$T$17,0))</f>
        <v>-0.25974025974026</v>
      </c>
      <c r="D28" s="54" t="n">
        <f aca="false">INDEX($E$5:$E$17,MATCH(LARGE($T$5:$T$17,7),$T$5:$T$17,0))</f>
        <v>0.875</v>
      </c>
      <c r="E28" s="54" t="n">
        <f aca="false">INDEX($J$5:$J$17,MATCH(LARGE($T$5:$T$17,7),$T$5:$T$17,0))</f>
        <v>1</v>
      </c>
      <c r="F28" s="49" t="str">
        <f aca="false">INDEX($N$5:$N$17,MATCH(LARGE($T$5:$T$17,7),$T$5:$T$17,0))</f>
        <v>Consolidado</v>
      </c>
    </row>
    <row r="29" customFormat="false" ht="23.25" hidden="false" customHeight="true" outlineLevel="0" collapsed="false">
      <c r="A29" s="46" t="n">
        <f aca="false">INDEX($M$5:$M$17,MATCH(LARGE($T$5:$T$17,8),$T$5:$T$17,0))</f>
        <v>8</v>
      </c>
      <c r="B29" s="38" t="str">
        <f aca="false">INDEX($A$5:$A$17,MATCH(LARGE($T$5:$T$17,8),$T$5:$T$17,0))</f>
        <v>Barão de Melgaço</v>
      </c>
      <c r="C29" s="55" t="n">
        <f aca="false">INDEX($L$5:$L$17,MATCH(LARGE($T$5:$T$17,8),$T$5:$T$17,0))</f>
        <v>-0.295454545454545</v>
      </c>
      <c r="D29" s="54" t="n">
        <f aca="false">INDEX($E$5:$E$17,MATCH(LARGE($T$5:$T$17,8),$T$5:$T$17,0))</f>
        <v>0.875</v>
      </c>
      <c r="E29" s="54" t="n">
        <f aca="false">INDEX($J$5:$J$17,MATCH(LARGE($T$5:$T$17,8),$T$5:$T$17,0))</f>
        <v>1</v>
      </c>
      <c r="F29" s="49" t="str">
        <f aca="false">INDEX($N$5:$N$17,MATCH(LARGE($T$5:$T$17,8),$T$5:$T$17,0))</f>
        <v>Consolidado</v>
      </c>
    </row>
    <row r="30" customFormat="false" ht="57" hidden="false" customHeight="true" outlineLevel="0" collapsed="false">
      <c r="A30" s="46" t="n">
        <f aca="false">INDEX($M$5:$M$17,MATCH(LARGE($T$5:$T$17,9),$T$5:$T$17,0))</f>
        <v>8</v>
      </c>
      <c r="B30" s="38" t="str">
        <f aca="false">INDEX($A$5:$A$17,MATCH(LARGE($T$5:$T$17,9),$T$5:$T$17,0))</f>
        <v>Curvelândia</v>
      </c>
      <c r="C30" s="55" t="n">
        <f aca="false">INDEX($L$5:$L$17,MATCH(LARGE($T$5:$T$17,9),$T$5:$T$17,0))</f>
        <v>-0.295454545454545</v>
      </c>
      <c r="D30" s="54" t="n">
        <f aca="false">INDEX($E$5:$E$17,MATCH(LARGE($T$5:$T$17,9),$T$5:$T$17,0))</f>
        <v>0.875</v>
      </c>
      <c r="E30" s="54" t="n">
        <f aca="false">INDEX($J$5:$J$17,MATCH(LARGE($T$5:$T$17,9),$T$5:$T$17,0))</f>
        <v>1</v>
      </c>
      <c r="F30" s="49" t="str">
        <f aca="false">INDEX($N$5:$N$17,MATCH(LARGE($T$5:$T$17,9),$T$5:$T$17,0))</f>
        <v>Consolidado</v>
      </c>
    </row>
    <row r="31" customFormat="false" ht="34.5" hidden="false" customHeight="true" outlineLevel="0" collapsed="false">
      <c r="A31" s="46" t="n">
        <f aca="false">INDEX($M$5:$M$17,MATCH(LARGE($T$5:$T$17,10),$T$5:$T$17,0))</f>
        <v>8</v>
      </c>
      <c r="B31" s="38" t="str">
        <f aca="false">INDEX($A$5:$A$17,MATCH(LARGE($T$5:$T$17,10),$T$5:$T$17,0))</f>
        <v>Glória D'Oeste</v>
      </c>
      <c r="C31" s="55" t="n">
        <f aca="false">INDEX($L$5:$L$17,MATCH(LARGE($T$5:$T$17,10),$T$5:$T$17,0))</f>
        <v>-0.295454545454545</v>
      </c>
      <c r="D31" s="54" t="n">
        <f aca="false">INDEX($E$5:$E$17,MATCH(LARGE($T$5:$T$17,10),$T$5:$T$17,0))</f>
        <v>0.875</v>
      </c>
      <c r="E31" s="54" t="n">
        <f aca="false">INDEX($J$5:$J$17,MATCH(LARGE($T$5:$T$17,10),$T$5:$T$17,0))</f>
        <v>1</v>
      </c>
      <c r="F31" s="49" t="str">
        <f aca="false">INDEX($N$5:$N$17,MATCH(LARGE($T$5:$T$17,10),$T$5:$T$17,0))</f>
        <v>Consolidado</v>
      </c>
    </row>
    <row r="32" customFormat="false" ht="45.75" hidden="false" customHeight="true" outlineLevel="0" collapsed="false">
      <c r="A32" s="46" t="n">
        <f aca="false">INDEX($M$5:$M$17,MATCH(LARGE($T$5:$T$17,11),$T$5:$T$17,0))</f>
        <v>8</v>
      </c>
      <c r="B32" s="38" t="str">
        <f aca="false">INDEX($A$5:$A$17,MATCH(LARGE($T$5:$T$17,11),$T$5:$T$17,0))</f>
        <v>Lambari D'Oeste</v>
      </c>
      <c r="C32" s="55" t="n">
        <f aca="false">INDEX($L$5:$L$17,MATCH(LARGE($T$5:$T$17,11),$T$5:$T$17,0))</f>
        <v>-0.295454545454545</v>
      </c>
      <c r="D32" s="54" t="n">
        <f aca="false">INDEX($E$5:$E$17,MATCH(LARGE($T$5:$T$17,11),$T$5:$T$17,0))</f>
        <v>0.875</v>
      </c>
      <c r="E32" s="54" t="n">
        <f aca="false">INDEX($J$5:$J$17,MATCH(LARGE($T$5:$T$17,11),$T$5:$T$17,0))</f>
        <v>1</v>
      </c>
      <c r="F32" s="49" t="str">
        <f aca="false">INDEX($N$5:$N$17,MATCH(LARGE($T$5:$T$17,11),$T$5:$T$17,0))</f>
        <v>Consolidado</v>
      </c>
    </row>
    <row r="33" customFormat="false" ht="23.25" hidden="false" customHeight="true" outlineLevel="0" collapsed="false">
      <c r="A33" s="46" t="n">
        <f aca="false">INDEX($M$5:$M$17,MATCH(LARGE($T$5:$T$17,12),$T$5:$T$17,0))</f>
        <v>12</v>
      </c>
      <c r="B33" s="38" t="str">
        <f aca="false">INDEX($A$5:$A$17,MATCH(LARGE($T$5:$T$17,12),$T$5:$T$17,0))</f>
        <v>Santo Antônio do Leverger</v>
      </c>
      <c r="C33" s="55" t="n">
        <f aca="false">INDEX($L$5:$L$17,MATCH(LARGE($T$5:$T$17,12),$T$5:$T$17,0))</f>
        <v>-0.321428571428571</v>
      </c>
      <c r="D33" s="54" t="n">
        <f aca="false">INDEX($E$5:$E$17,MATCH(LARGE($T$5:$T$17,12),$T$5:$T$17,0))</f>
        <v>0.875</v>
      </c>
      <c r="E33" s="54" t="n">
        <f aca="false">INDEX($J$5:$J$17,MATCH(LARGE($T$5:$T$17,12),$T$5:$T$17,0))</f>
        <v>1</v>
      </c>
      <c r="F33" s="49" t="str">
        <f aca="false">INDEX($N$5:$N$17,MATCH(LARGE($T$5:$T$17,12),$T$5:$T$17,0))</f>
        <v>Consolidado</v>
      </c>
    </row>
    <row r="34" customFormat="false" ht="15" hidden="false" customHeight="true" outlineLevel="0" collapsed="false">
      <c r="A34" s="46" t="n">
        <f aca="false">INDEX($M$5:$M$17,MATCH(LARGE($T$5:$T$17,13),$T$5:$T$17,0))</f>
        <v>13</v>
      </c>
      <c r="B34" s="38" t="str">
        <f aca="false">INDEX($A$5:$A$17,MATCH(LARGE($T$5:$T$17,13),$T$5:$T$17,0))</f>
        <v>Poconé</v>
      </c>
      <c r="C34" s="55" t="n">
        <f aca="false">INDEX($L$5:$L$17,MATCH(LARGE($T$5:$T$17,13),$T$5:$T$17,0))</f>
        <v>-0.357142857142857</v>
      </c>
      <c r="D34" s="54" t="n">
        <f aca="false">INDEX($E$5:$E$17,MATCH(LARGE($T$5:$T$17,13),$T$5:$T$17,0))</f>
        <v>0.875</v>
      </c>
      <c r="E34" s="54" t="n">
        <f aca="false">INDEX($J$5:$J$17,MATCH(LARGE($T$5:$T$17,13),$T$5:$T$17,0))</f>
        <v>1</v>
      </c>
      <c r="F34" s="49" t="str">
        <f aca="false">INDEX($N$5:$N$17,MATCH(LARGE($T$5:$T$17,13),$T$5:$T$17,0))</f>
        <v>Consolidado</v>
      </c>
    </row>
    <row r="36" customFormat="false" ht="30" hidden="false" customHeight="true" outlineLevel="0" collapsed="false">
      <c r="A36" s="50" t="s">
        <v>125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</row>
    <row r="37" customFormat="false" ht="30" hidden="false" customHeight="true" outlineLevel="0" collapsed="false">
      <c r="A37" s="50" t="s">
        <v>126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</row>
    <row r="38" customFormat="false" ht="30" hidden="false" customHeight="true" outlineLevel="0" collapsed="false">
      <c r="A38" s="50" t="s">
        <v>127</v>
      </c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</row>
  </sheetData>
  <mergeCells count="5">
    <mergeCell ref="A1:N1"/>
    <mergeCell ref="A2:N2"/>
    <mergeCell ref="A36:N36"/>
    <mergeCell ref="A37:N37"/>
    <mergeCell ref="A38:N38"/>
  </mergeCells>
  <conditionalFormatting sqref="N5:N17">
    <cfRule type="cellIs" priority="2" operator="equal" aboveAverage="0" equalAverage="0" bottom="0" percent="0" rank="0" text="" dxfId="4">
      <formula>"PROVISÓRIO"</formula>
    </cfRule>
  </conditionalFormatting>
  <conditionalFormatting sqref="L5:L17">
    <cfRule type="colorScale" priority="3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conditionalFormatting sqref="F22:F34">
    <cfRule type="cellIs" priority="4" operator="equal" aboveAverage="0" equalAverage="0" bottom="0" percent="0" rank="0" text="" dxfId="5">
      <formula>"PROVISÓRIO"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"/>
    <col collapsed="false" customWidth="true" hidden="false" outlineLevel="0" max="3" min="3" style="1" width="42"/>
    <col collapsed="false" customWidth="true" hidden="false" outlineLevel="0" max="4" min="4" style="1" width="60"/>
    <col collapsed="false" customWidth="true" hidden="false" outlineLevel="0" max="5" min="5" style="1" width="44"/>
  </cols>
  <sheetData>
    <row r="1" customFormat="false" ht="15.75" hidden="false" customHeight="true" outlineLevel="0" collapsed="false">
      <c r="A1" s="2" t="s">
        <v>128</v>
      </c>
    </row>
    <row r="3" customFormat="false" ht="15" hidden="false" customHeight="true" outlineLevel="0" collapsed="false">
      <c r="A3" s="57" t="s">
        <v>59</v>
      </c>
      <c r="B3" s="57" t="s">
        <v>129</v>
      </c>
      <c r="C3" s="57" t="s">
        <v>130</v>
      </c>
      <c r="D3" s="57" t="s">
        <v>131</v>
      </c>
      <c r="E3" s="57" t="s">
        <v>132</v>
      </c>
    </row>
    <row r="4" customFormat="false" ht="79.5" hidden="false" customHeight="true" outlineLevel="0" collapsed="false">
      <c r="A4" s="58" t="s">
        <v>133</v>
      </c>
      <c r="B4" s="58" t="s">
        <v>134</v>
      </c>
      <c r="C4" s="58" t="s">
        <v>135</v>
      </c>
      <c r="D4" s="58" t="s">
        <v>136</v>
      </c>
      <c r="E4" s="58" t="s">
        <v>137</v>
      </c>
    </row>
    <row r="5" customFormat="false" ht="79.5" hidden="false" customHeight="true" outlineLevel="0" collapsed="false">
      <c r="A5" s="58" t="s">
        <v>138</v>
      </c>
      <c r="B5" s="58" t="s">
        <v>134</v>
      </c>
      <c r="C5" s="58" t="s">
        <v>139</v>
      </c>
      <c r="D5" s="58" t="s">
        <v>140</v>
      </c>
      <c r="E5" s="58" t="s">
        <v>141</v>
      </c>
    </row>
    <row r="6" customFormat="false" ht="79.5" hidden="false" customHeight="true" outlineLevel="0" collapsed="false">
      <c r="A6" s="58" t="s">
        <v>142</v>
      </c>
      <c r="B6" s="58" t="s">
        <v>143</v>
      </c>
      <c r="C6" s="58" t="s">
        <v>144</v>
      </c>
      <c r="D6" s="58" t="s">
        <v>145</v>
      </c>
      <c r="E6" s="58" t="s">
        <v>146</v>
      </c>
    </row>
    <row r="8" customFormat="false" ht="48" hidden="false" customHeight="true" outlineLevel="0" collapsed="false">
      <c r="A8" s="59" t="s">
        <v>147</v>
      </c>
      <c r="B8" s="60" t="s">
        <v>148</v>
      </c>
      <c r="C8" s="60"/>
      <c r="D8" s="60"/>
      <c r="E8" s="60"/>
    </row>
    <row r="10" customFormat="false" ht="15" hidden="false" customHeight="true" outlineLevel="0" collapsed="false">
      <c r="A10" s="61" t="s">
        <v>149</v>
      </c>
    </row>
    <row r="11" customFormat="false" ht="15" hidden="false" customHeight="true" outlineLevel="0" collapsed="false">
      <c r="A11" s="40" t="s">
        <v>150</v>
      </c>
      <c r="B11" s="40" t="s">
        <v>151</v>
      </c>
    </row>
    <row r="12" customFormat="false" ht="15" hidden="false" customHeight="true" outlineLevel="0" collapsed="false">
      <c r="A12" s="40" t="s">
        <v>152</v>
      </c>
      <c r="B12" s="40" t="s">
        <v>153</v>
      </c>
    </row>
    <row r="13" customFormat="false" ht="15" hidden="false" customHeight="true" outlineLevel="0" collapsed="false">
      <c r="A13" s="40" t="s">
        <v>154</v>
      </c>
      <c r="B13" s="40" t="s">
        <v>155</v>
      </c>
    </row>
    <row r="14" customFormat="false" ht="15" hidden="false" customHeight="true" outlineLevel="0" collapsed="false">
      <c r="A14" s="40" t="s">
        <v>156</v>
      </c>
      <c r="B14" s="40" t="s">
        <v>157</v>
      </c>
    </row>
    <row r="15" customFormat="false" ht="15" hidden="false" customHeight="true" outlineLevel="0" collapsed="false">
      <c r="A15" s="40" t="s">
        <v>158</v>
      </c>
      <c r="B15" s="40" t="s">
        <v>159</v>
      </c>
    </row>
    <row r="16" customFormat="false" ht="15" hidden="false" customHeight="true" outlineLevel="0" collapsed="false">
      <c r="A16" s="40" t="s">
        <v>160</v>
      </c>
      <c r="B16" s="40" t="s">
        <v>161</v>
      </c>
    </row>
    <row r="18" customFormat="false" ht="26.25" hidden="false" customHeight="true" outlineLevel="0" collapsed="false">
      <c r="A18" s="62" t="s">
        <v>162</v>
      </c>
    </row>
    <row r="19" customFormat="false" ht="48" hidden="false" customHeight="true" outlineLevel="0" collapsed="false">
      <c r="A19" s="58" t="s">
        <v>163</v>
      </c>
      <c r="B19" s="60" t="s">
        <v>164</v>
      </c>
      <c r="C19" s="60"/>
      <c r="D19" s="60"/>
      <c r="E19" s="60"/>
    </row>
    <row r="20" customFormat="false" ht="48" hidden="false" customHeight="true" outlineLevel="0" collapsed="false">
      <c r="A20" s="58" t="s">
        <v>123</v>
      </c>
      <c r="B20" s="60" t="s">
        <v>165</v>
      </c>
      <c r="C20" s="60"/>
      <c r="D20" s="60"/>
      <c r="E20" s="60"/>
    </row>
    <row r="21" customFormat="false" ht="48" hidden="false" customHeight="true" outlineLevel="0" collapsed="false">
      <c r="A21" s="58" t="s">
        <v>166</v>
      </c>
      <c r="B21" s="60" t="s">
        <v>167</v>
      </c>
      <c r="C21" s="60"/>
      <c r="D21" s="60"/>
      <c r="E21" s="60"/>
    </row>
    <row r="23" customFormat="false" ht="15" hidden="false" customHeight="true" outlineLevel="0" collapsed="false">
      <c r="A23" s="61" t="s">
        <v>168</v>
      </c>
    </row>
    <row r="24" customFormat="false" ht="15" hidden="false" customHeight="true" outlineLevel="0" collapsed="false">
      <c r="A24" s="57" t="s">
        <v>59</v>
      </c>
      <c r="B24" s="57" t="s">
        <v>129</v>
      </c>
      <c r="C24" s="57" t="s">
        <v>130</v>
      </c>
      <c r="D24" s="57" t="s">
        <v>131</v>
      </c>
      <c r="E24" s="57" t="s">
        <v>132</v>
      </c>
    </row>
    <row r="25" customFormat="false" ht="63.75" hidden="false" customHeight="true" outlineLevel="0" collapsed="false">
      <c r="A25" s="58" t="s">
        <v>169</v>
      </c>
      <c r="B25" s="58" t="s">
        <v>170</v>
      </c>
      <c r="C25" s="58" t="s">
        <v>171</v>
      </c>
      <c r="D25" s="58" t="s">
        <v>172</v>
      </c>
      <c r="E25" s="58" t="s">
        <v>173</v>
      </c>
    </row>
    <row r="26" customFormat="false" ht="63.75" hidden="false" customHeight="true" outlineLevel="0" collapsed="false">
      <c r="A26" s="58" t="s">
        <v>174</v>
      </c>
      <c r="B26" s="58" t="s">
        <v>175</v>
      </c>
      <c r="C26" s="58" t="s">
        <v>176</v>
      </c>
      <c r="D26" s="58" t="s">
        <v>177</v>
      </c>
      <c r="E26" s="58" t="s">
        <v>178</v>
      </c>
    </row>
    <row r="27" customFormat="false" ht="63.75" hidden="false" customHeight="true" outlineLevel="0" collapsed="false">
      <c r="A27" s="58" t="s">
        <v>142</v>
      </c>
      <c r="B27" s="58" t="s">
        <v>143</v>
      </c>
      <c r="C27" s="58" t="s">
        <v>179</v>
      </c>
      <c r="D27" s="58" t="s">
        <v>180</v>
      </c>
      <c r="E27" s="58" t="s">
        <v>181</v>
      </c>
    </row>
    <row r="28" customFormat="false" ht="63.75" hidden="false" customHeight="true" outlineLevel="0" collapsed="false">
      <c r="A28" s="58" t="s">
        <v>182</v>
      </c>
      <c r="B28" s="58" t="s">
        <v>183</v>
      </c>
      <c r="C28" s="58" t="s">
        <v>184</v>
      </c>
      <c r="D28" s="58" t="s">
        <v>185</v>
      </c>
      <c r="E28" s="58" t="s">
        <v>186</v>
      </c>
    </row>
    <row r="29" customFormat="false" ht="63.75" hidden="false" customHeight="true" outlineLevel="0" collapsed="false">
      <c r="A29" s="58" t="s">
        <v>187</v>
      </c>
      <c r="B29" s="58" t="s">
        <v>175</v>
      </c>
      <c r="C29" s="58" t="s">
        <v>188</v>
      </c>
      <c r="D29" s="58" t="s">
        <v>189</v>
      </c>
      <c r="E29" s="58" t="s">
        <v>190</v>
      </c>
    </row>
    <row r="30" customFormat="false" ht="63.75" hidden="false" customHeight="true" outlineLevel="0" collapsed="false">
      <c r="A30" s="58" t="s">
        <v>191</v>
      </c>
      <c r="B30" s="58" t="s">
        <v>170</v>
      </c>
      <c r="C30" s="58" t="s">
        <v>188</v>
      </c>
      <c r="D30" s="58" t="s">
        <v>192</v>
      </c>
      <c r="E30" s="58" t="s">
        <v>193</v>
      </c>
    </row>
    <row r="31" customFormat="false" ht="63.75" hidden="false" customHeight="true" outlineLevel="0" collapsed="false">
      <c r="A31" s="58" t="s">
        <v>194</v>
      </c>
      <c r="B31" s="58" t="s">
        <v>175</v>
      </c>
      <c r="C31" s="58" t="s">
        <v>188</v>
      </c>
      <c r="D31" s="58" t="s">
        <v>195</v>
      </c>
      <c r="E31" s="58"/>
    </row>
    <row r="32" customFormat="false" ht="63.75" hidden="false" customHeight="true" outlineLevel="0" collapsed="false">
      <c r="A32" s="58" t="s">
        <v>158</v>
      </c>
      <c r="B32" s="58" t="s">
        <v>134</v>
      </c>
      <c r="C32" s="58" t="s">
        <v>196</v>
      </c>
      <c r="D32" s="58" t="s">
        <v>197</v>
      </c>
      <c r="E32" s="58" t="s">
        <v>198</v>
      </c>
    </row>
    <row r="33" customFormat="false" ht="63.75" hidden="false" customHeight="true" outlineLevel="0" collapsed="false">
      <c r="A33" s="58" t="s">
        <v>199</v>
      </c>
      <c r="B33" s="58" t="s">
        <v>170</v>
      </c>
      <c r="C33" s="58" t="s">
        <v>200</v>
      </c>
      <c r="D33" s="58" t="s">
        <v>201</v>
      </c>
      <c r="E33" s="58"/>
    </row>
    <row r="34" customFormat="false" ht="63.75" hidden="false" customHeight="true" outlineLevel="0" collapsed="false">
      <c r="A34" s="58" t="s">
        <v>202</v>
      </c>
      <c r="B34" s="58" t="s">
        <v>170</v>
      </c>
      <c r="C34" s="58" t="s">
        <v>188</v>
      </c>
      <c r="D34" s="58" t="s">
        <v>203</v>
      </c>
      <c r="E34" s="58" t="s">
        <v>204</v>
      </c>
    </row>
    <row r="35" customFormat="false" ht="63.75" hidden="false" customHeight="true" outlineLevel="0" collapsed="false">
      <c r="A35" s="58" t="s">
        <v>205</v>
      </c>
      <c r="B35" s="58" t="s">
        <v>206</v>
      </c>
      <c r="C35" s="58" t="s">
        <v>207</v>
      </c>
      <c r="D35" s="58" t="s">
        <v>208</v>
      </c>
      <c r="E35" s="58" t="s">
        <v>209</v>
      </c>
    </row>
    <row r="36" customFormat="false" ht="63.75" hidden="false" customHeight="true" outlineLevel="0" collapsed="false">
      <c r="A36" s="58" t="s">
        <v>160</v>
      </c>
      <c r="B36" s="58" t="s">
        <v>210</v>
      </c>
      <c r="C36" s="58" t="s">
        <v>211</v>
      </c>
      <c r="D36" s="58" t="s">
        <v>212</v>
      </c>
      <c r="E36" s="58" t="s">
        <v>213</v>
      </c>
    </row>
  </sheetData>
  <mergeCells count="4">
    <mergeCell ref="B8:E8"/>
    <mergeCell ref="B19:E19"/>
    <mergeCell ref="B20:E20"/>
    <mergeCell ref="B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2"/>
    <col collapsed="false" customWidth="true" hidden="false" outlineLevel="0" max="3" min="3" style="1" width="45"/>
  </cols>
  <sheetData>
    <row r="1" customFormat="false" ht="15" hidden="false" customHeight="true" outlineLevel="0" collapsed="false">
      <c r="A1" s="47" t="s">
        <v>214</v>
      </c>
    </row>
    <row r="3" customFormat="false" ht="15" hidden="false" customHeight="true" outlineLevel="0" collapsed="false">
      <c r="A3" s="40" t="s">
        <v>215</v>
      </c>
      <c r="B3" s="63" t="n">
        <v>0.1</v>
      </c>
      <c r="C3" s="33" t="s">
        <v>216</v>
      </c>
    </row>
    <row r="4" customFormat="false" ht="15" hidden="false" customHeight="true" outlineLevel="0" collapsed="false">
      <c r="A4" s="40" t="s">
        <v>217</v>
      </c>
      <c r="B4" s="64" t="n">
        <v>2</v>
      </c>
    </row>
    <row r="5" customFormat="false" ht="15" hidden="false" customHeight="true" outlineLevel="0" collapsed="false">
      <c r="A5" s="40" t="s">
        <v>218</v>
      </c>
      <c r="B5" s="65" t="n">
        <v>2</v>
      </c>
      <c r="C5" s="33" t="s">
        <v>219</v>
      </c>
    </row>
    <row r="8" customFormat="false" ht="15" hidden="false" customHeight="true" outlineLevel="0" collapsed="false">
      <c r="A8" s="6" t="s">
        <v>220</v>
      </c>
    </row>
    <row r="9" customFormat="false" ht="15" hidden="false" customHeight="true" outlineLevel="0" collapsed="false">
      <c r="A9" s="40" t="s">
        <v>46</v>
      </c>
    </row>
    <row r="10" customFormat="false" ht="15" hidden="false" customHeight="true" outlineLevel="0" collapsed="false">
      <c r="A10" s="40" t="s">
        <v>26</v>
      </c>
    </row>
    <row r="11" customFormat="false" ht="15" hidden="false" customHeight="true" outlineLevel="0" collapsed="false">
      <c r="A11" s="40" t="s">
        <v>47</v>
      </c>
    </row>
    <row r="12" customFormat="false" ht="15" hidden="false" customHeight="true" outlineLevel="0" collapsed="false">
      <c r="A12" s="40" t="s">
        <v>48</v>
      </c>
    </row>
    <row r="13" customFormat="false" ht="15" hidden="false" customHeight="true" outlineLevel="0" collapsed="false">
      <c r="A13" s="40" t="s">
        <v>49</v>
      </c>
    </row>
    <row r="14" customFormat="false" ht="15" hidden="false" customHeight="true" outlineLevel="0" collapsed="false">
      <c r="A14" s="40" t="s">
        <v>50</v>
      </c>
    </row>
    <row r="15" customFormat="false" ht="15" hidden="false" customHeight="true" outlineLevel="0" collapsed="false">
      <c r="A15" s="40" t="s">
        <v>51</v>
      </c>
    </row>
    <row r="16" customFormat="false" ht="15" hidden="false" customHeight="true" outlineLevel="0" collapsed="false">
      <c r="A16" s="40" t="s">
        <v>52</v>
      </c>
    </row>
    <row r="17" customFormat="false" ht="15" hidden="false" customHeight="true" outlineLevel="0" collapsed="false">
      <c r="A17" s="40" t="s">
        <v>53</v>
      </c>
    </row>
    <row r="18" customFormat="false" ht="15" hidden="false" customHeight="true" outlineLevel="0" collapsed="false">
      <c r="A18" s="40" t="s">
        <v>54</v>
      </c>
    </row>
    <row r="19" customFormat="false" ht="15" hidden="false" customHeight="true" outlineLevel="0" collapsed="false">
      <c r="A19" s="40" t="s">
        <v>55</v>
      </c>
    </row>
    <row r="20" customFormat="false" ht="15" hidden="false" customHeight="true" outlineLevel="0" collapsed="false">
      <c r="A20" s="40" t="s">
        <v>56</v>
      </c>
    </row>
    <row r="21" customFormat="false" ht="15" hidden="false" customHeight="true" outlineLevel="0" collapsed="false">
      <c r="A21" s="40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6"/>
    <col collapsed="false" customWidth="true" hidden="false" outlineLevel="0" max="3" min="3" style="1" width="42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6" min="6" style="1" width="22"/>
    <col collapsed="false" customWidth="true" hidden="false" outlineLevel="0" max="7" min="7" style="1" width="8"/>
    <col collapsed="false" customWidth="true" hidden="false" outlineLevel="0" max="8" min="8" style="1" width="13"/>
    <col collapsed="false" customWidth="true" hidden="false" outlineLevel="0" max="9" min="9" style="1" width="11"/>
    <col collapsed="false" customWidth="true" hidden="false" outlineLevel="0" max="13" min="10" style="1" width="10"/>
    <col collapsed="false" customWidth="true" hidden="false" outlineLevel="0" max="14" min="14" style="1" width="11"/>
    <col collapsed="false" customWidth="true" hidden="false" outlineLevel="0" max="15" min="15" style="1" width="12"/>
    <col collapsed="false" customWidth="true" hidden="false" outlineLevel="0" max="16" min="16" style="1" width="11"/>
    <col collapsed="false" customWidth="true" hidden="false" outlineLevel="0" max="17" min="17" style="1" width="12"/>
    <col collapsed="false" customWidth="true" hidden="false" outlineLevel="0" max="18" min="18" style="1" width="11"/>
    <col collapsed="false" customWidth="true" hidden="false" outlineLevel="0" max="19" min="19" style="1" width="12"/>
    <col collapsed="false" customWidth="true" hidden="false" outlineLevel="0" max="20" min="20" style="1" width="11"/>
    <col collapsed="false" customWidth="true" hidden="false" outlineLevel="0" max="21" min="21" style="1" width="12"/>
    <col collapsed="false" customWidth="true" hidden="false" outlineLevel="0" max="22" min="22" style="1" width="11"/>
    <col collapsed="false" customWidth="true" hidden="false" outlineLevel="0" max="23" min="23" style="1" width="12"/>
    <col collapsed="false" customWidth="true" hidden="false" outlineLevel="0" max="24" min="24" style="1" width="11"/>
    <col collapsed="false" customWidth="true" hidden="false" outlineLevel="0" max="25" min="25" style="1" width="12"/>
    <col collapsed="false" customWidth="true" hidden="false" outlineLevel="0" max="26" min="26" style="1" width="11"/>
    <col collapsed="false" customWidth="true" hidden="false" outlineLevel="0" max="27" min="27" style="1" width="12"/>
    <col collapsed="false" customWidth="true" hidden="false" outlineLevel="0" max="28" min="28" style="1" width="11"/>
    <col collapsed="false" customWidth="true" hidden="false" outlineLevel="0" max="29" min="29" style="1" width="12"/>
    <col collapsed="false" customWidth="true" hidden="false" outlineLevel="0" max="30" min="30" style="1" width="11"/>
    <col collapsed="false" customWidth="true" hidden="false" outlineLevel="0" max="31" min="31" style="1" width="12"/>
    <col collapsed="false" customWidth="true" hidden="false" outlineLevel="0" max="32" min="32" style="1" width="11"/>
    <col collapsed="false" customWidth="true" hidden="false" outlineLevel="0" max="33" min="33" style="1" width="12"/>
    <col collapsed="false" customWidth="true" hidden="false" outlineLevel="0" max="34" min="34" style="1" width="11"/>
    <col collapsed="false" customWidth="true" hidden="false" outlineLevel="0" max="35" min="35" style="1" width="12"/>
    <col collapsed="false" customWidth="true" hidden="false" outlineLevel="0" max="36" min="36" style="1" width="11"/>
    <col collapsed="false" customWidth="true" hidden="false" outlineLevel="0" max="37" min="37" style="1" width="12"/>
    <col collapsed="false" customWidth="true" hidden="false" outlineLevel="0" max="38" min="38" style="1" width="11"/>
    <col collapsed="false" customWidth="true" hidden="false" outlineLevel="0" max="39" min="39" style="1" width="12"/>
  </cols>
  <sheetData>
    <row r="1" customFormat="false" ht="15.75" hidden="false" customHeight="true" outlineLevel="0" collapsed="false">
      <c r="A1" s="2" t="s">
        <v>221</v>
      </c>
    </row>
    <row r="2" customFormat="false" ht="15" hidden="false" customHeight="true" outlineLevel="0" collapsed="false">
      <c r="A2" s="3" t="s">
        <v>222</v>
      </c>
    </row>
    <row r="4" customFormat="false" ht="31.5" hidden="false" customHeight="true" outlineLevel="0" collapsed="false">
      <c r="A4" s="66" t="s">
        <v>59</v>
      </c>
      <c r="B4" s="66" t="s">
        <v>223</v>
      </c>
      <c r="C4" s="66" t="s">
        <v>60</v>
      </c>
      <c r="D4" s="66" t="s">
        <v>224</v>
      </c>
      <c r="E4" s="66" t="s">
        <v>225</v>
      </c>
      <c r="F4" s="66" t="s">
        <v>226</v>
      </c>
      <c r="G4" s="66" t="s">
        <v>227</v>
      </c>
      <c r="H4" s="66" t="s">
        <v>228</v>
      </c>
      <c r="I4" s="66" t="s">
        <v>229</v>
      </c>
      <c r="J4" s="66" t="s">
        <v>230</v>
      </c>
      <c r="K4" s="66" t="s">
        <v>231</v>
      </c>
      <c r="L4" s="66" t="s">
        <v>232</v>
      </c>
      <c r="M4" s="66" t="s">
        <v>233</v>
      </c>
      <c r="N4" s="66" t="s">
        <v>46</v>
      </c>
      <c r="O4" s="66"/>
      <c r="P4" s="66" t="s">
        <v>26</v>
      </c>
      <c r="Q4" s="66"/>
      <c r="R4" s="66" t="s">
        <v>47</v>
      </c>
      <c r="S4" s="66"/>
      <c r="T4" s="66" t="s">
        <v>48</v>
      </c>
      <c r="U4" s="66"/>
      <c r="V4" s="66" t="s">
        <v>49</v>
      </c>
      <c r="W4" s="66"/>
      <c r="X4" s="66" t="s">
        <v>50</v>
      </c>
      <c r="Y4" s="66"/>
      <c r="Z4" s="66" t="s">
        <v>51</v>
      </c>
      <c r="AA4" s="66"/>
      <c r="AB4" s="66" t="s">
        <v>52</v>
      </c>
      <c r="AC4" s="66"/>
      <c r="AD4" s="66" t="s">
        <v>53</v>
      </c>
      <c r="AE4" s="66"/>
      <c r="AF4" s="66" t="s">
        <v>54</v>
      </c>
      <c r="AG4" s="66"/>
      <c r="AH4" s="66" t="s">
        <v>55</v>
      </c>
      <c r="AI4" s="66"/>
      <c r="AJ4" s="66" t="s">
        <v>56</v>
      </c>
      <c r="AK4" s="66"/>
      <c r="AL4" s="66" t="s">
        <v>57</v>
      </c>
      <c r="AM4" s="66"/>
    </row>
    <row r="5" customFormat="false" ht="23.25" hidden="false" customHeight="true" outlineLevel="0" collapsed="false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7" t="s">
        <v>234</v>
      </c>
      <c r="O5" s="67" t="s">
        <v>102</v>
      </c>
      <c r="P5" s="67" t="s">
        <v>234</v>
      </c>
      <c r="Q5" s="67" t="s">
        <v>102</v>
      </c>
      <c r="R5" s="67" t="s">
        <v>234</v>
      </c>
      <c r="S5" s="67" t="s">
        <v>102</v>
      </c>
      <c r="T5" s="67" t="s">
        <v>234</v>
      </c>
      <c r="U5" s="67" t="s">
        <v>102</v>
      </c>
      <c r="V5" s="67" t="s">
        <v>234</v>
      </c>
      <c r="W5" s="67" t="s">
        <v>102</v>
      </c>
      <c r="X5" s="67" t="s">
        <v>234</v>
      </c>
      <c r="Y5" s="67" t="s">
        <v>102</v>
      </c>
      <c r="Z5" s="67" t="s">
        <v>234</v>
      </c>
      <c r="AA5" s="67" t="s">
        <v>102</v>
      </c>
      <c r="AB5" s="67" t="s">
        <v>234</v>
      </c>
      <c r="AC5" s="67" t="s">
        <v>102</v>
      </c>
      <c r="AD5" s="67" t="s">
        <v>234</v>
      </c>
      <c r="AE5" s="67" t="s">
        <v>102</v>
      </c>
      <c r="AF5" s="67" t="s">
        <v>234</v>
      </c>
      <c r="AG5" s="67" t="s">
        <v>102</v>
      </c>
      <c r="AH5" s="67" t="s">
        <v>234</v>
      </c>
      <c r="AI5" s="67" t="s">
        <v>102</v>
      </c>
      <c r="AJ5" s="67" t="s">
        <v>234</v>
      </c>
      <c r="AK5" s="67" t="s">
        <v>102</v>
      </c>
      <c r="AL5" s="67" t="s">
        <v>234</v>
      </c>
      <c r="AM5" s="67" t="s">
        <v>102</v>
      </c>
    </row>
    <row r="6" customFormat="false" ht="23.25" hidden="false" customHeight="true" outlineLevel="0" collapsed="false">
      <c r="A6" s="68" t="s">
        <v>235</v>
      </c>
      <c r="B6" s="69" t="s">
        <v>74</v>
      </c>
      <c r="C6" s="69" t="s">
        <v>236</v>
      </c>
      <c r="D6" s="68" t="s">
        <v>237</v>
      </c>
      <c r="E6" s="70" t="s">
        <v>238</v>
      </c>
      <c r="F6" s="69" t="s">
        <v>239</v>
      </c>
      <c r="G6" s="70" t="n">
        <v>2021</v>
      </c>
      <c r="H6" s="70" t="s">
        <v>240</v>
      </c>
      <c r="I6" s="71" t="n">
        <v>1</v>
      </c>
      <c r="J6" s="71" t="n">
        <v>0.8</v>
      </c>
      <c r="K6" s="71" t="n">
        <v>1.2</v>
      </c>
      <c r="L6" s="72" t="n">
        <f aca="false">IF($H6="Absoluto",IF($J6="","",$J6),IF($I6="","",IF($H6="Razão MT",MIN($I6*(1-Parâmetros!$B$3),$I6*(1+Parâmetros!$B$3)),$I6-Parâmetros!$B$4)))</f>
        <v>0.8</v>
      </c>
      <c r="M6" s="72" t="n">
        <f aca="false">IF($H6="Absoluto",IF($K6="","",$K6),IF($I6="","",IF($H6="Razão MT",MAX($I6*(1-Parâmetros!$B$3),$I6*(1+Parâmetros!$B$3)),$I6+Parâmetros!$B$4)))</f>
        <v>1.2</v>
      </c>
      <c r="N6" s="73" t="n">
        <v>0.9631</v>
      </c>
      <c r="O6" s="74" t="str">
        <f aca="false">IF(OR(N6="",$L6="",$M6=""),"",IF($E6="+",IF(N6&gt;$M6,"Força",IF(N6&lt;$L6,"Fraqueza","Neutro")),IF(N6&lt;$L6,"Força",IF(N6&gt;$M6,"Fraqueza","Neutro"))))</f>
        <v>Neutro</v>
      </c>
      <c r="P6" s="73" t="n">
        <v>0.3713</v>
      </c>
      <c r="Q6" s="74" t="str">
        <f aca="false">IF(OR(P6="",$L6="",$M6=""),"",IF($E6="+",IF(P6&gt;$M6,"Força",IF(P6&lt;$L6,"Fraqueza","Neutro")),IF(P6&lt;$L6,"Força",IF(P6&gt;$M6,"Fraqueza","Neutro"))))</f>
        <v>Fraqueza</v>
      </c>
      <c r="R6" s="73" t="n">
        <v>1.2022</v>
      </c>
      <c r="S6" s="74" t="str">
        <f aca="false">IF(OR(R6="",$L6="",$M6=""),"",IF($E6="+",IF(R6&gt;$M6,"Força",IF(R6&lt;$L6,"Fraqueza","Neutro")),IF(R6&lt;$L6,"Força",IF(R6&gt;$M6,"Fraqueza","Neutro"))))</f>
        <v>Força</v>
      </c>
      <c r="T6" s="73" t="n">
        <v>1.3866</v>
      </c>
      <c r="U6" s="74" t="str">
        <f aca="false">IF(OR(T6="",$L6="",$M6=""),"",IF($E6="+",IF(T6&gt;$M6,"Força",IF(T6&lt;$L6,"Fraqueza","Neutro")),IF(T6&lt;$L6,"Força",IF(T6&gt;$M6,"Fraqueza","Neutro"))))</f>
        <v>Força</v>
      </c>
      <c r="V6" s="73" t="n">
        <v>1.6266</v>
      </c>
      <c r="W6" s="74" t="str">
        <f aca="false">IF(OR(V6="",$L6="",$M6=""),"",IF($E6="+",IF(V6&gt;$M6,"Força",IF(V6&lt;$L6,"Fraqueza","Neutro")),IF(V6&lt;$L6,"Força",IF(V6&gt;$M6,"Fraqueza","Neutro"))))</f>
        <v>Força</v>
      </c>
      <c r="X6" s="73" t="n">
        <v>1.319</v>
      </c>
      <c r="Y6" s="74" t="str">
        <f aca="false">IF(OR(X6="",$L6="",$M6=""),"",IF($E6="+",IF(X6&gt;$M6,"Força",IF(X6&lt;$L6,"Fraqueza","Neutro")),IF(X6&lt;$L6,"Força",IF(X6&gt;$M6,"Fraqueza","Neutro"))))</f>
        <v>Força</v>
      </c>
      <c r="Z6" s="73" t="n">
        <v>1.364</v>
      </c>
      <c r="AA6" s="74" t="str">
        <f aca="false">IF(OR(Z6="",$L6="",$M6=""),"",IF($E6="+",IF(Z6&gt;$M6,"Força",IF(Z6&lt;$L6,"Fraqueza","Neutro")),IF(Z6&lt;$L6,"Força",IF(Z6&gt;$M6,"Fraqueza","Neutro"))))</f>
        <v>Força</v>
      </c>
      <c r="AB6" s="73" t="n">
        <v>0.416</v>
      </c>
      <c r="AC6" s="74" t="str">
        <f aca="false">IF(OR(AB6="",$L6="",$M6=""),"",IF($E6="+",IF(AB6&gt;$M6,"Força",IF(AB6&lt;$L6,"Fraqueza","Neutro")),IF(AB6&lt;$L6,"Força",IF(AB6&gt;$M6,"Fraqueza","Neutro"))))</f>
        <v>Fraqueza</v>
      </c>
      <c r="AD6" s="73" t="n">
        <v>0.5183</v>
      </c>
      <c r="AE6" s="74" t="str">
        <f aca="false">IF(OR(AD6="",$L6="",$M6=""),"",IF($E6="+",IF(AD6&gt;$M6,"Força",IF(AD6&lt;$L6,"Fraqueza","Neutro")),IF(AD6&lt;$L6,"Força",IF(AD6&gt;$M6,"Fraqueza","Neutro"))))</f>
        <v>Fraqueza</v>
      </c>
      <c r="AF6" s="73" t="n">
        <v>0.5066</v>
      </c>
      <c r="AG6" s="74" t="str">
        <f aca="false">IF(OR(AF6="",$L6="",$M6=""),"",IF($E6="+",IF(AF6&gt;$M6,"Força",IF(AF6&lt;$L6,"Fraqueza","Neutro")),IF(AF6&lt;$L6,"Força",IF(AF6&gt;$M6,"Fraqueza","Neutro"))))</f>
        <v>Fraqueza</v>
      </c>
      <c r="AH6" s="73" t="n">
        <v>1.0048</v>
      </c>
      <c r="AI6" s="74" t="str">
        <f aca="false">IF(OR(AH6="",$L6="",$M6=""),"",IF($E6="+",IF(AH6&gt;$M6,"Força",IF(AH6&lt;$L6,"Fraqueza","Neutro")),IF(AH6&lt;$L6,"Força",IF(AH6&gt;$M6,"Fraqueza","Neutro"))))</f>
        <v>Neutro</v>
      </c>
      <c r="AJ6" s="73" t="n">
        <v>0.1067</v>
      </c>
      <c r="AK6" s="74" t="str">
        <f aca="false">IF(OR(AJ6="",$L6="",$M6=""),"",IF($E6="+",IF(AJ6&gt;$M6,"Força",IF(AJ6&lt;$L6,"Fraqueza","Neutro")),IF(AJ6&lt;$L6,"Força",IF(AJ6&gt;$M6,"Fraqueza","Neutro"))))</f>
        <v>Fraqueza</v>
      </c>
      <c r="AL6" s="73" t="n">
        <v>1.714</v>
      </c>
      <c r="AM6" s="74" t="str">
        <f aca="false">IF(OR(AL6="",$L6="",$M6=""),"",IF($E6="+",IF(AL6&gt;$M6,"Força",IF(AL6&lt;$L6,"Fraqueza","Neutro")),IF(AL6&lt;$L6,"Força",IF(AL6&gt;$M6,"Fraqueza","Neutro"))))</f>
        <v>Força</v>
      </c>
    </row>
    <row r="7" customFormat="false" ht="15" hidden="false" customHeight="true" outlineLevel="0" collapsed="false">
      <c r="A7" s="68" t="s">
        <v>169</v>
      </c>
      <c r="B7" s="69" t="s">
        <v>74</v>
      </c>
      <c r="C7" s="69" t="s">
        <v>241</v>
      </c>
      <c r="D7" s="68" t="s">
        <v>242</v>
      </c>
      <c r="E7" s="70" t="s">
        <v>238</v>
      </c>
      <c r="F7" s="69" t="s">
        <v>243</v>
      </c>
      <c r="G7" s="70" t="n">
        <v>2024</v>
      </c>
      <c r="H7" s="70" t="s">
        <v>244</v>
      </c>
      <c r="I7" s="71" t="n">
        <v>5602.9</v>
      </c>
      <c r="J7" s="71"/>
      <c r="K7" s="71"/>
      <c r="L7" s="72" t="n">
        <f aca="false">IF($H7="Absoluto",IF($J7="","",$J7),IF($I7="","",IF($H7="Razão MT",MIN($I7*(1-Parâmetros!$B$3),$I7*(1+Parâmetros!$B$3)),$I7-Parâmetros!$B$4)))</f>
        <v>5042.61</v>
      </c>
      <c r="M7" s="72" t="n">
        <f aca="false">IF($H7="Absoluto",IF($K7="","",$K7),IF($I7="","",IF($H7="Razão MT",MAX($I7*(1-Parâmetros!$B$3),$I7*(1+Parâmetros!$B$3)),$I7+Parâmetros!$B$4)))</f>
        <v>6163.19</v>
      </c>
      <c r="N7" s="71" t="n">
        <v>19926.55</v>
      </c>
      <c r="O7" s="74" t="str">
        <f aca="false">IF(OR(N7="",$L7="",$M7=""),"",IF($E7="+",IF(N7&gt;$M7,"Força",IF(N7&lt;$L7,"Fraqueza","Neutro")),IF(N7&lt;$L7,"Força",IF(N7&gt;$M7,"Fraqueza","Neutro"))))</f>
        <v>Força</v>
      </c>
      <c r="P7" s="71" t="n">
        <v>5729.32</v>
      </c>
      <c r="Q7" s="74" t="str">
        <f aca="false">IF(OR(P7="",$L7="",$M7=""),"",IF($E7="+",IF(P7&gt;$M7,"Força",IF(P7&lt;$L7,"Fraqueza","Neutro")),IF(P7&lt;$L7,"Força",IF(P7&gt;$M7,"Fraqueza","Neutro"))))</f>
        <v>Neutro</v>
      </c>
      <c r="R7" s="71" t="n">
        <v>10834.24</v>
      </c>
      <c r="S7" s="74" t="str">
        <f aca="false">IF(OR(R7="",$L7="",$M7=""),"",IF($E7="+",IF(R7&gt;$M7,"Força",IF(R7&lt;$L7,"Fraqueza","Neutro")),IF(R7&lt;$L7,"Força",IF(R7&gt;$M7,"Fraqueza","Neutro"))))</f>
        <v>Força</v>
      </c>
      <c r="T7" s="71" t="n">
        <v>10020.12</v>
      </c>
      <c r="U7" s="74" t="str">
        <f aca="false">IF(OR(T7="",$L7="",$M7=""),"",IF($E7="+",IF(T7&gt;$M7,"Força",IF(T7&lt;$L7,"Fraqueza","Neutro")),IF(T7&lt;$L7,"Força",IF(T7&gt;$M7,"Fraqueza","Neutro"))))</f>
        <v>Força</v>
      </c>
      <c r="V7" s="71" t="n">
        <v>5402.93</v>
      </c>
      <c r="W7" s="74" t="str">
        <f aca="false">IF(OR(V7="",$L7="",$M7=""),"",IF($E7="+",IF(V7&gt;$M7,"Força",IF(V7&lt;$L7,"Fraqueza","Neutro")),IF(V7&lt;$L7,"Força",IF(V7&gt;$M7,"Fraqueza","Neutro"))))</f>
        <v>Neutro</v>
      </c>
      <c r="X7" s="71" t="n">
        <v>5889.67</v>
      </c>
      <c r="Y7" s="74" t="str">
        <f aca="false">IF(OR(X7="",$L7="",$M7=""),"",IF($E7="+",IF(X7&gt;$M7,"Força",IF(X7&lt;$L7,"Fraqueza","Neutro")),IF(X7&lt;$L7,"Força",IF(X7&gt;$M7,"Fraqueza","Neutro"))))</f>
        <v>Neutro</v>
      </c>
      <c r="Z7" s="71" t="n">
        <v>9903.13</v>
      </c>
      <c r="AA7" s="74" t="str">
        <f aca="false">IF(OR(Z7="",$L7="",$M7=""),"",IF($E7="+",IF(Z7&gt;$M7,"Força",IF(Z7&lt;$L7,"Fraqueza","Neutro")),IF(Z7&lt;$L7,"Força",IF(Z7&gt;$M7,"Fraqueza","Neutro"))))</f>
        <v>Força</v>
      </c>
      <c r="AB7" s="71" t="n">
        <v>10166.09</v>
      </c>
      <c r="AC7" s="74" t="str">
        <f aca="false">IF(OR(AB7="",$L7="",$M7=""),"",IF($E7="+",IF(AB7&gt;$M7,"Força",IF(AB7&lt;$L7,"Fraqueza","Neutro")),IF(AB7&lt;$L7,"Força",IF(AB7&gt;$M7,"Fraqueza","Neutro"))))</f>
        <v>Força</v>
      </c>
      <c r="AD7" s="71" t="n">
        <v>5734.66</v>
      </c>
      <c r="AE7" s="74" t="str">
        <f aca="false">IF(OR(AD7="",$L7="",$M7=""),"",IF($E7="+",IF(AD7&gt;$M7,"Força",IF(AD7&lt;$L7,"Fraqueza","Neutro")),IF(AD7&lt;$L7,"Força",IF(AD7&gt;$M7,"Fraqueza","Neutro"))))</f>
        <v>Neutro</v>
      </c>
      <c r="AF7" s="71" t="n">
        <v>5045</v>
      </c>
      <c r="AG7" s="74" t="str">
        <f aca="false">IF(OR(AF7="",$L7="",$M7=""),"",IF($E7="+",IF(AF7&gt;$M7,"Força",IF(AF7&lt;$L7,"Fraqueza","Neutro")),IF(AF7&lt;$L7,"Força",IF(AF7&gt;$M7,"Fraqueza","Neutro"))))</f>
        <v>Neutro</v>
      </c>
      <c r="AH7" s="71" t="n">
        <v>6552.04</v>
      </c>
      <c r="AI7" s="74" t="str">
        <f aca="false">IF(OR(AH7="",$L7="",$M7=""),"",IF($E7="+",IF(AH7&gt;$M7,"Força",IF(AH7&lt;$L7,"Fraqueza","Neutro")),IF(AH7&lt;$L7,"Força",IF(AH7&gt;$M7,"Fraqueza","Neutro"))))</f>
        <v>Força</v>
      </c>
      <c r="AJ7" s="71" t="n">
        <v>5354.94</v>
      </c>
      <c r="AK7" s="74" t="str">
        <f aca="false">IF(OR(AJ7="",$L7="",$M7=""),"",IF($E7="+",IF(AJ7&gt;$M7,"Força",IF(AJ7&lt;$L7,"Fraqueza","Neutro")),IF(AJ7&lt;$L7,"Força",IF(AJ7&gt;$M7,"Fraqueza","Neutro"))))</f>
        <v>Neutro</v>
      </c>
      <c r="AL7" s="71" t="n">
        <v>4958.82</v>
      </c>
      <c r="AM7" s="74" t="str">
        <f aca="false">IF(OR(AL7="",$L7="",$M7=""),"",IF($E7="+",IF(AL7&gt;$M7,"Força",IF(AL7&lt;$L7,"Fraqueza","Neutro")),IF(AL7&lt;$L7,"Força",IF(AL7&gt;$M7,"Fraqueza","Neutro"))))</f>
        <v>Fraqueza</v>
      </c>
    </row>
    <row r="8" customFormat="false" ht="15" hidden="false" customHeight="true" outlineLevel="0" collapsed="false">
      <c r="A8" s="68" t="s">
        <v>174</v>
      </c>
      <c r="B8" s="69" t="s">
        <v>74</v>
      </c>
      <c r="C8" s="69" t="s">
        <v>245</v>
      </c>
      <c r="D8" s="68" t="s">
        <v>246</v>
      </c>
      <c r="E8" s="70" t="s">
        <v>238</v>
      </c>
      <c r="F8" s="69" t="s">
        <v>247</v>
      </c>
      <c r="G8" s="70" t="n">
        <v>2024</v>
      </c>
      <c r="H8" s="70" t="s">
        <v>248</v>
      </c>
      <c r="I8" s="71" t="n">
        <v>3.79</v>
      </c>
      <c r="J8" s="71"/>
      <c r="K8" s="71"/>
      <c r="L8" s="72" t="n">
        <f aca="false">IF($H8="Absoluto",IF($J8="","",$J8),IF($I8="","",IF($H8="Razão MT",MIN($I8*(1-Parâmetros!$B$3),$I8*(1+Parâmetros!$B$3)),$I8-Parâmetros!$B$4)))</f>
        <v>1.79</v>
      </c>
      <c r="M8" s="72" t="n">
        <f aca="false">IF($H8="Absoluto",IF($K8="","",$K8),IF($I8="","",IF($H8="Razão MT",MAX($I8*(1-Parâmetros!$B$3),$I8*(1+Parâmetros!$B$3)),$I8+Parâmetros!$B$4)))</f>
        <v>5.79</v>
      </c>
      <c r="N8" s="71" t="n">
        <v>16.6</v>
      </c>
      <c r="O8" s="74" t="str">
        <f aca="false">IF(OR(N8="",$L8="",$M8=""),"",IF($E8="+",IF(N8&gt;$M8,"Força",IF(N8&lt;$L8,"Fraqueza","Neutro")),IF(N8&lt;$L8,"Força",IF(N8&gt;$M8,"Fraqueza","Neutro"))))</f>
        <v>Força</v>
      </c>
      <c r="P8" s="71" t="n">
        <v>22.65</v>
      </c>
      <c r="Q8" s="74" t="str">
        <f aca="false">IF(OR(P8="",$L8="",$M8=""),"",IF($E8="+",IF(P8&gt;$M8,"Força",IF(P8&lt;$L8,"Fraqueza","Neutro")),IF(P8&lt;$L8,"Força",IF(P8&gt;$M8,"Fraqueza","Neutro"))))</f>
        <v>Força</v>
      </c>
      <c r="R8" s="71" t="n">
        <v>2.73</v>
      </c>
      <c r="S8" s="74" t="str">
        <f aca="false">IF(OR(R8="",$L8="",$M8=""),"",IF($E8="+",IF(R8&gt;$M8,"Força",IF(R8&lt;$L8,"Fraqueza","Neutro")),IF(R8&lt;$L8,"Força",IF(R8&gt;$M8,"Fraqueza","Neutro"))))</f>
        <v>Neutro</v>
      </c>
      <c r="T8" s="71" t="n">
        <v>2.27</v>
      </c>
      <c r="U8" s="74" t="str">
        <f aca="false">IF(OR(T8="",$L8="",$M8=""),"",IF($E8="+",IF(T8&gt;$M8,"Força",IF(T8&lt;$L8,"Fraqueza","Neutro")),IF(T8&lt;$L8,"Força",IF(T8&gt;$M8,"Fraqueza","Neutro"))))</f>
        <v>Neutro</v>
      </c>
      <c r="V8" s="71" t="n">
        <v>26.4</v>
      </c>
      <c r="W8" s="74" t="str">
        <f aca="false">IF(OR(V8="",$L8="",$M8=""),"",IF($E8="+",IF(V8&gt;$M8,"Força",IF(V8&lt;$L8,"Fraqueza","Neutro")),IF(V8&lt;$L8,"Força",IF(V8&gt;$M8,"Fraqueza","Neutro"))))</f>
        <v>Força</v>
      </c>
      <c r="X8" s="71" t="n">
        <v>1.8</v>
      </c>
      <c r="Y8" s="74" t="str">
        <f aca="false">IF(OR(X8="",$L8="",$M8=""),"",IF($E8="+",IF(X8&gt;$M8,"Força",IF(X8&lt;$L8,"Fraqueza","Neutro")),IF(X8&lt;$L8,"Força",IF(X8&gt;$M8,"Fraqueza","Neutro"))))</f>
        <v>Neutro</v>
      </c>
      <c r="Z8" s="71" t="n">
        <v>-2.74</v>
      </c>
      <c r="AA8" s="74" t="str">
        <f aca="false">IF(OR(Z8="",$L8="",$M8=""),"",IF($E8="+",IF(Z8&gt;$M8,"Força",IF(Z8&lt;$L8,"Fraqueza","Neutro")),IF(Z8&lt;$L8,"Força",IF(Z8&gt;$M8,"Fraqueza","Neutro"))))</f>
        <v>Fraqueza</v>
      </c>
      <c r="AB8" s="71" t="n">
        <v>-2.58</v>
      </c>
      <c r="AC8" s="74" t="str">
        <f aca="false">IF(OR(AB8="",$L8="",$M8=""),"",IF($E8="+",IF(AB8&gt;$M8,"Força",IF(AB8&lt;$L8,"Fraqueza","Neutro")),IF(AB8&lt;$L8,"Força",IF(AB8&gt;$M8,"Fraqueza","Neutro"))))</f>
        <v>Fraqueza</v>
      </c>
      <c r="AD8" s="71" t="n">
        <v>23.81</v>
      </c>
      <c r="AE8" s="74" t="str">
        <f aca="false">IF(OR(AD8="",$L8="",$M8=""),"",IF($E8="+",IF(AD8&gt;$M8,"Força",IF(AD8&lt;$L8,"Fraqueza","Neutro")),IF(AD8&lt;$L8,"Força",IF(AD8&gt;$M8,"Fraqueza","Neutro"))))</f>
        <v>Força</v>
      </c>
      <c r="AF8" s="71" t="n">
        <v>16.79</v>
      </c>
      <c r="AG8" s="74" t="str">
        <f aca="false">IF(OR(AF8="",$L8="",$M8=""),"",IF($E8="+",IF(AF8&gt;$M8,"Força",IF(AF8&lt;$L8,"Fraqueza","Neutro")),IF(AF8&lt;$L8,"Força",IF(AF8&gt;$M8,"Fraqueza","Neutro"))))</f>
        <v>Força</v>
      </c>
      <c r="AH8" s="71" t="n">
        <v>8.4</v>
      </c>
      <c r="AI8" s="74" t="str">
        <f aca="false">IF(OR(AH8="",$L8="",$M8=""),"",IF($E8="+",IF(AH8&gt;$M8,"Força",IF(AH8&lt;$L8,"Fraqueza","Neutro")),IF(AH8&lt;$L8,"Força",IF(AH8&gt;$M8,"Fraqueza","Neutro"))))</f>
        <v>Força</v>
      </c>
      <c r="AJ8" s="71" t="n">
        <v>0.39</v>
      </c>
      <c r="AK8" s="74" t="str">
        <f aca="false">IF(OR(AJ8="",$L8="",$M8=""),"",IF($E8="+",IF(AJ8&gt;$M8,"Força",IF(AJ8&lt;$L8,"Fraqueza","Neutro")),IF(AJ8&lt;$L8,"Força",IF(AJ8&gt;$M8,"Fraqueza","Neutro"))))</f>
        <v>Fraqueza</v>
      </c>
      <c r="AL8" s="71" t="n">
        <v>4.74</v>
      </c>
      <c r="AM8" s="74" t="str">
        <f aca="false">IF(OR(AL8="",$L8="",$M8=""),"",IF($E8="+",IF(AL8&gt;$M8,"Força",IF(AL8&lt;$L8,"Fraqueza","Neutro")),IF(AL8&lt;$L8,"Força",IF(AL8&gt;$M8,"Fraqueza","Neutro"))))</f>
        <v>Neutro</v>
      </c>
    </row>
    <row r="9" customFormat="false" ht="23.25" hidden="false" customHeight="true" outlineLevel="0" collapsed="false">
      <c r="A9" s="68" t="s">
        <v>154</v>
      </c>
      <c r="B9" s="69" t="s">
        <v>74</v>
      </c>
      <c r="C9" s="69" t="s">
        <v>249</v>
      </c>
      <c r="D9" s="68" t="s">
        <v>246</v>
      </c>
      <c r="E9" s="70" t="s">
        <v>238</v>
      </c>
      <c r="F9" s="69" t="s">
        <v>250</v>
      </c>
      <c r="G9" s="70"/>
      <c r="H9" s="70" t="s">
        <v>248</v>
      </c>
      <c r="I9" s="71"/>
      <c r="J9" s="71"/>
      <c r="K9" s="71"/>
      <c r="L9" s="72" t="str">
        <f aca="false">IF($H9="Absoluto",IF($J9="","",$J9),IF($I9="","",IF($H9="Razão MT",MIN($I9*(1-Parâmetros!$B$3),$I9*(1+Parâmetros!$B$3)),$I9-Parâmetros!$B$4)))</f>
        <v/>
      </c>
      <c r="M9" s="72" t="str">
        <f aca="false">IF($H9="Absoluto",IF($K9="","",$K9),IF($I9="","",IF($H9="Razão MT",MAX($I9*(1-Parâmetros!$B$3),$I9*(1+Parâmetros!$B$3)),$I9+Parâmetros!$B$4)))</f>
        <v/>
      </c>
      <c r="N9" s="71"/>
      <c r="O9" s="74" t="str">
        <f aca="false">IF(OR(N9="",$L9="",$M9=""),"",IF($E9="+",IF(N9&gt;$M9,"Força",IF(N9&lt;$L9,"Fraqueza","Neutro")),IF(N9&lt;$L9,"Força",IF(N9&gt;$M9,"Fraqueza","Neutro"))))</f>
        <v/>
      </c>
      <c r="P9" s="71"/>
      <c r="Q9" s="74" t="str">
        <f aca="false">IF(OR(P9="",$L9="",$M9=""),"",IF($E9="+",IF(P9&gt;$M9,"Força",IF(P9&lt;$L9,"Fraqueza","Neutro")),IF(P9&lt;$L9,"Força",IF(P9&gt;$M9,"Fraqueza","Neutro"))))</f>
        <v/>
      </c>
      <c r="R9" s="71"/>
      <c r="S9" s="74" t="str">
        <f aca="false">IF(OR(R9="",$L9="",$M9=""),"",IF($E9="+",IF(R9&gt;$M9,"Força",IF(R9&lt;$L9,"Fraqueza","Neutro")),IF(R9&lt;$L9,"Força",IF(R9&gt;$M9,"Fraqueza","Neutro"))))</f>
        <v/>
      </c>
      <c r="T9" s="71"/>
      <c r="U9" s="74" t="str">
        <f aca="false">IF(OR(T9="",$L9="",$M9=""),"",IF($E9="+",IF(T9&gt;$M9,"Força",IF(T9&lt;$L9,"Fraqueza","Neutro")),IF(T9&lt;$L9,"Força",IF(T9&gt;$M9,"Fraqueza","Neutro"))))</f>
        <v/>
      </c>
      <c r="V9" s="71"/>
      <c r="W9" s="74" t="str">
        <f aca="false">IF(OR(V9="",$L9="",$M9=""),"",IF($E9="+",IF(V9&gt;$M9,"Força",IF(V9&lt;$L9,"Fraqueza","Neutro")),IF(V9&lt;$L9,"Força",IF(V9&gt;$M9,"Fraqueza","Neutro"))))</f>
        <v/>
      </c>
      <c r="X9" s="71"/>
      <c r="Y9" s="74" t="str">
        <f aca="false">IF(OR(X9="",$L9="",$M9=""),"",IF($E9="+",IF(X9&gt;$M9,"Força",IF(X9&lt;$L9,"Fraqueza","Neutro")),IF(X9&lt;$L9,"Força",IF(X9&gt;$M9,"Fraqueza","Neutro"))))</f>
        <v/>
      </c>
      <c r="Z9" s="71"/>
      <c r="AA9" s="74" t="str">
        <f aca="false">IF(OR(Z9="",$L9="",$M9=""),"",IF($E9="+",IF(Z9&gt;$M9,"Força",IF(Z9&lt;$L9,"Fraqueza","Neutro")),IF(Z9&lt;$L9,"Força",IF(Z9&gt;$M9,"Fraqueza","Neutro"))))</f>
        <v/>
      </c>
      <c r="AB9" s="71"/>
      <c r="AC9" s="74" t="str">
        <f aca="false">IF(OR(AB9="",$L9="",$M9=""),"",IF($E9="+",IF(AB9&gt;$M9,"Força",IF(AB9&lt;$L9,"Fraqueza","Neutro")),IF(AB9&lt;$L9,"Força",IF(AB9&gt;$M9,"Fraqueza","Neutro"))))</f>
        <v/>
      </c>
      <c r="AD9" s="71"/>
      <c r="AE9" s="74" t="str">
        <f aca="false">IF(OR(AD9="",$L9="",$M9=""),"",IF($E9="+",IF(AD9&gt;$M9,"Força",IF(AD9&lt;$L9,"Fraqueza","Neutro")),IF(AD9&lt;$L9,"Força",IF(AD9&gt;$M9,"Fraqueza","Neutro"))))</f>
        <v/>
      </c>
      <c r="AF9" s="71"/>
      <c r="AG9" s="74" t="str">
        <f aca="false">IF(OR(AF9="",$L9="",$M9=""),"",IF($E9="+",IF(AF9&gt;$M9,"Força",IF(AF9&lt;$L9,"Fraqueza","Neutro")),IF(AF9&lt;$L9,"Força",IF(AF9&gt;$M9,"Fraqueza","Neutro"))))</f>
        <v/>
      </c>
      <c r="AH9" s="71"/>
      <c r="AI9" s="74" t="str">
        <f aca="false">IF(OR(AH9="",$L9="",$M9=""),"",IF($E9="+",IF(AH9&gt;$M9,"Força",IF(AH9&lt;$L9,"Fraqueza","Neutro")),IF(AH9&lt;$L9,"Força",IF(AH9&gt;$M9,"Fraqueza","Neutro"))))</f>
        <v/>
      </c>
      <c r="AJ9" s="71"/>
      <c r="AK9" s="74" t="str">
        <f aca="false">IF(OR(AJ9="",$L9="",$M9=""),"",IF($E9="+",IF(AJ9&gt;$M9,"Força",IF(AJ9&lt;$L9,"Fraqueza","Neutro")),IF(AJ9&lt;$L9,"Força",IF(AJ9&gt;$M9,"Fraqueza","Neutro"))))</f>
        <v/>
      </c>
      <c r="AL9" s="71"/>
      <c r="AM9" s="74" t="str">
        <f aca="false">IF(OR(AL9="",$L9="",$M9=""),"",IF($E9="+",IF(AL9&gt;$M9,"Força",IF(AL9&lt;$L9,"Fraqueza","Neutro")),IF(AL9&lt;$L9,"Força",IF(AL9&gt;$M9,"Fraqueza","Neutro"))))</f>
        <v/>
      </c>
    </row>
    <row r="10" customFormat="false" ht="23.25" hidden="false" customHeight="true" outlineLevel="0" collapsed="false">
      <c r="A10" s="68" t="s">
        <v>150</v>
      </c>
      <c r="B10" s="69" t="s">
        <v>74</v>
      </c>
      <c r="C10" s="69" t="s">
        <v>251</v>
      </c>
      <c r="D10" s="68" t="s">
        <v>252</v>
      </c>
      <c r="E10" s="70" t="s">
        <v>238</v>
      </c>
      <c r="F10" s="69" t="s">
        <v>253</v>
      </c>
      <c r="G10" s="70"/>
      <c r="H10" s="70" t="s">
        <v>244</v>
      </c>
      <c r="I10" s="71"/>
      <c r="J10" s="71"/>
      <c r="K10" s="71"/>
      <c r="L10" s="72" t="str">
        <f aca="false">IF($H10="Absoluto",IF($J10="","",$J10),IF($I10="","",IF($H10="Razão MT",MIN($I10*(1-Parâmetros!$B$3),$I10*(1+Parâmetros!$B$3)),$I10-Parâmetros!$B$4)))</f>
        <v/>
      </c>
      <c r="M10" s="72" t="str">
        <f aca="false">IF($H10="Absoluto",IF($K10="","",$K10),IF($I10="","",IF($H10="Razão MT",MAX($I10*(1-Parâmetros!$B$3),$I10*(1+Parâmetros!$B$3)),$I10+Parâmetros!$B$4)))</f>
        <v/>
      </c>
      <c r="N10" s="71"/>
      <c r="O10" s="74" t="str">
        <f aca="false">IF(OR(N10="",$L10="",$M10=""),"",IF($E10="+",IF(N10&gt;$M10,"Força",IF(N10&lt;$L10,"Fraqueza","Neutro")),IF(N10&lt;$L10,"Força",IF(N10&gt;$M10,"Fraqueza","Neutro"))))</f>
        <v/>
      </c>
      <c r="P10" s="71"/>
      <c r="Q10" s="74" t="str">
        <f aca="false">IF(OR(P10="",$L10="",$M10=""),"",IF($E10="+",IF(P10&gt;$M10,"Força",IF(P10&lt;$L10,"Fraqueza","Neutro")),IF(P10&lt;$L10,"Força",IF(P10&gt;$M10,"Fraqueza","Neutro"))))</f>
        <v/>
      </c>
      <c r="R10" s="71"/>
      <c r="S10" s="74" t="str">
        <f aca="false">IF(OR(R10="",$L10="",$M10=""),"",IF($E10="+",IF(R10&gt;$M10,"Força",IF(R10&lt;$L10,"Fraqueza","Neutro")),IF(R10&lt;$L10,"Força",IF(R10&gt;$M10,"Fraqueza","Neutro"))))</f>
        <v/>
      </c>
      <c r="T10" s="71"/>
      <c r="U10" s="74" t="str">
        <f aca="false">IF(OR(T10="",$L10="",$M10=""),"",IF($E10="+",IF(T10&gt;$M10,"Força",IF(T10&lt;$L10,"Fraqueza","Neutro")),IF(T10&lt;$L10,"Força",IF(T10&gt;$M10,"Fraqueza","Neutro"))))</f>
        <v/>
      </c>
      <c r="V10" s="71"/>
      <c r="W10" s="74" t="str">
        <f aca="false">IF(OR(V10="",$L10="",$M10=""),"",IF($E10="+",IF(V10&gt;$M10,"Força",IF(V10&lt;$L10,"Fraqueza","Neutro")),IF(V10&lt;$L10,"Força",IF(V10&gt;$M10,"Fraqueza","Neutro"))))</f>
        <v/>
      </c>
      <c r="X10" s="71"/>
      <c r="Y10" s="74" t="str">
        <f aca="false">IF(OR(X10="",$L10="",$M10=""),"",IF($E10="+",IF(X10&gt;$M10,"Força",IF(X10&lt;$L10,"Fraqueza","Neutro")),IF(X10&lt;$L10,"Força",IF(X10&gt;$M10,"Fraqueza","Neutro"))))</f>
        <v/>
      </c>
      <c r="Z10" s="71"/>
      <c r="AA10" s="74" t="str">
        <f aca="false">IF(OR(Z10="",$L10="",$M10=""),"",IF($E10="+",IF(Z10&gt;$M10,"Força",IF(Z10&lt;$L10,"Fraqueza","Neutro")),IF(Z10&lt;$L10,"Força",IF(Z10&gt;$M10,"Fraqueza","Neutro"))))</f>
        <v/>
      </c>
      <c r="AB10" s="71"/>
      <c r="AC10" s="74" t="str">
        <f aca="false">IF(OR(AB10="",$L10="",$M10=""),"",IF($E10="+",IF(AB10&gt;$M10,"Força",IF(AB10&lt;$L10,"Fraqueza","Neutro")),IF(AB10&lt;$L10,"Força",IF(AB10&gt;$M10,"Fraqueza","Neutro"))))</f>
        <v/>
      </c>
      <c r="AD10" s="71"/>
      <c r="AE10" s="74" t="str">
        <f aca="false">IF(OR(AD10="",$L10="",$M10=""),"",IF($E10="+",IF(AD10&gt;$M10,"Força",IF(AD10&lt;$L10,"Fraqueza","Neutro")),IF(AD10&lt;$L10,"Força",IF(AD10&gt;$M10,"Fraqueza","Neutro"))))</f>
        <v/>
      </c>
      <c r="AF10" s="71"/>
      <c r="AG10" s="74" t="str">
        <f aca="false">IF(OR(AF10="",$L10="",$M10=""),"",IF($E10="+",IF(AF10&gt;$M10,"Força",IF(AF10&lt;$L10,"Fraqueza","Neutro")),IF(AF10&lt;$L10,"Força",IF(AF10&gt;$M10,"Fraqueza","Neutro"))))</f>
        <v/>
      </c>
      <c r="AH10" s="71"/>
      <c r="AI10" s="74" t="str">
        <f aca="false">IF(OR(AH10="",$L10="",$M10=""),"",IF($E10="+",IF(AH10&gt;$M10,"Força",IF(AH10&lt;$L10,"Fraqueza","Neutro")),IF(AH10&lt;$L10,"Força",IF(AH10&gt;$M10,"Fraqueza","Neutro"))))</f>
        <v/>
      </c>
      <c r="AJ10" s="71"/>
      <c r="AK10" s="74" t="str">
        <f aca="false">IF(OR(AJ10="",$L10="",$M10=""),"",IF($E10="+",IF(AJ10&gt;$M10,"Força",IF(AJ10&lt;$L10,"Fraqueza","Neutro")),IF(AJ10&lt;$L10,"Força",IF(AJ10&gt;$M10,"Fraqueza","Neutro"))))</f>
        <v/>
      </c>
      <c r="AL10" s="71"/>
      <c r="AM10" s="74" t="str">
        <f aca="false">IF(OR(AL10="",$L10="",$M10=""),"",IF($E10="+",IF(AL10&gt;$M10,"Força",IF(AL10&lt;$L10,"Fraqueza","Neutro")),IF(AL10&lt;$L10,"Força",IF(AL10&gt;$M10,"Fraqueza","Neutro"))))</f>
        <v/>
      </c>
    </row>
    <row r="11" customFormat="false" ht="23.25" hidden="false" customHeight="true" outlineLevel="0" collapsed="false">
      <c r="A11" s="75" t="s">
        <v>254</v>
      </c>
      <c r="B11" s="76" t="s">
        <v>76</v>
      </c>
      <c r="C11" s="76" t="s">
        <v>255</v>
      </c>
      <c r="D11" s="75" t="s">
        <v>237</v>
      </c>
      <c r="E11" s="70" t="s">
        <v>238</v>
      </c>
      <c r="F11" s="76" t="s">
        <v>239</v>
      </c>
      <c r="G11" s="70" t="n">
        <v>2021</v>
      </c>
      <c r="H11" s="70" t="s">
        <v>240</v>
      </c>
      <c r="I11" s="71" t="n">
        <v>1</v>
      </c>
      <c r="J11" s="71" t="n">
        <v>0.8</v>
      </c>
      <c r="K11" s="71" t="n">
        <v>1.2</v>
      </c>
      <c r="L11" s="72" t="n">
        <f aca="false">IF($H11="Absoluto",IF($J11="","",$J11),IF($I11="","",IF($H11="Razão MT",MIN($I11*(1-Parâmetros!$B$3),$I11*(1+Parâmetros!$B$3)),$I11-Parâmetros!$B$4)))</f>
        <v>0.8</v>
      </c>
      <c r="M11" s="72" t="n">
        <f aca="false">IF($H11="Absoluto",IF($K11="","",$K11),IF($I11="","",IF($H11="Razão MT",MAX($I11*(1-Parâmetros!$B$3),$I11*(1+Parâmetros!$B$3)),$I11+Parâmetros!$B$4)))</f>
        <v>1.2</v>
      </c>
      <c r="N11" s="73" t="n">
        <v>0.169</v>
      </c>
      <c r="O11" s="74" t="str">
        <f aca="false">IF(OR(N11="",$L11="",$M11=""),"",IF($E11="+",IF(N11&gt;$M11,"Força",IF(N11&lt;$L11,"Fraqueza","Neutro")),IF(N11&lt;$L11,"Força",IF(N11&gt;$M11,"Fraqueza","Neutro"))))</f>
        <v>Fraqueza</v>
      </c>
      <c r="P11" s="73" t="n">
        <v>0.6374</v>
      </c>
      <c r="Q11" s="74" t="str">
        <f aca="false">IF(OR(P11="",$L11="",$M11=""),"",IF($E11="+",IF(P11&gt;$M11,"Força",IF(P11&lt;$L11,"Fraqueza","Neutro")),IF(P11&lt;$L11,"Força",IF(P11&gt;$M11,"Fraqueza","Neutro"))))</f>
        <v>Fraqueza</v>
      </c>
      <c r="R11" s="73" t="n">
        <v>0.4717</v>
      </c>
      <c r="S11" s="74" t="str">
        <f aca="false">IF(OR(R11="",$L11="",$M11=""),"",IF($E11="+",IF(R11&gt;$M11,"Força",IF(R11&lt;$L11,"Fraqueza","Neutro")),IF(R11&lt;$L11,"Força",IF(R11&gt;$M11,"Fraqueza","Neutro"))))</f>
        <v>Fraqueza</v>
      </c>
      <c r="T11" s="73" t="n">
        <v>0.2854</v>
      </c>
      <c r="U11" s="74" t="str">
        <f aca="false">IF(OR(T11="",$L11="",$M11=""),"",IF($E11="+",IF(T11&gt;$M11,"Força",IF(T11&lt;$L11,"Fraqueza","Neutro")),IF(T11&lt;$L11,"Força",IF(T11&gt;$M11,"Fraqueza","Neutro"))))</f>
        <v>Fraqueza</v>
      </c>
      <c r="V11" s="73" t="n">
        <v>1.2891</v>
      </c>
      <c r="W11" s="74" t="str">
        <f aca="false">IF(OR(V11="",$L11="",$M11=""),"",IF($E11="+",IF(V11&gt;$M11,"Força",IF(V11&lt;$L11,"Fraqueza","Neutro")),IF(V11&lt;$L11,"Força",IF(V11&gt;$M11,"Fraqueza","Neutro"))))</f>
        <v>Força</v>
      </c>
      <c r="X11" s="73" t="n">
        <v>1.1671</v>
      </c>
      <c r="Y11" s="74" t="str">
        <f aca="false">IF(OR(X11="",$L11="",$M11=""),"",IF($E11="+",IF(X11&gt;$M11,"Força",IF(X11&lt;$L11,"Fraqueza","Neutro")),IF(X11&lt;$L11,"Força",IF(X11&gt;$M11,"Fraqueza","Neutro"))))</f>
        <v>Neutro</v>
      </c>
      <c r="Z11" s="73" t="n">
        <v>1.1956</v>
      </c>
      <c r="AA11" s="74" t="str">
        <f aca="false">IF(OR(Z11="",$L11="",$M11=""),"",IF($E11="+",IF(Z11&gt;$M11,"Força",IF(Z11&lt;$L11,"Fraqueza","Neutro")),IF(Z11&lt;$L11,"Força",IF(Z11&gt;$M11,"Fraqueza","Neutro"))))</f>
        <v>Neutro</v>
      </c>
      <c r="AB11" s="73" t="n">
        <v>1.2112</v>
      </c>
      <c r="AC11" s="74" t="str">
        <f aca="false">IF(OR(AB11="",$L11="",$M11=""),"",IF($E11="+",IF(AB11&gt;$M11,"Força",IF(AB11&lt;$L11,"Fraqueza","Neutro")),IF(AB11&lt;$L11,"Força",IF(AB11&gt;$M11,"Fraqueza","Neutro"))))</f>
        <v>Força</v>
      </c>
      <c r="AD11" s="73" t="n">
        <v>2.0033</v>
      </c>
      <c r="AE11" s="74" t="str">
        <f aca="false">IF(OR(AD11="",$L11="",$M11=""),"",IF($E11="+",IF(AD11&gt;$M11,"Força",IF(AD11&lt;$L11,"Fraqueza","Neutro")),IF(AD11&lt;$L11,"Força",IF(AD11&gt;$M11,"Fraqueza","Neutro"))))</f>
        <v>Força</v>
      </c>
      <c r="AF11" s="73" t="n">
        <v>0.5947</v>
      </c>
      <c r="AG11" s="74" t="str">
        <f aca="false">IF(OR(AF11="",$L11="",$M11=""),"",IF($E11="+",IF(AF11&gt;$M11,"Força",IF(AF11&lt;$L11,"Fraqueza","Neutro")),IF(AF11&lt;$L11,"Força",IF(AF11&gt;$M11,"Fraqueza","Neutro"))))</f>
        <v>Fraqueza</v>
      </c>
      <c r="AH11" s="73" t="n">
        <v>1.0107</v>
      </c>
      <c r="AI11" s="74" t="str">
        <f aca="false">IF(OR(AH11="",$L11="",$M11=""),"",IF($E11="+",IF(AH11&gt;$M11,"Força",IF(AH11&lt;$L11,"Fraqueza","Neutro")),IF(AH11&lt;$L11,"Força",IF(AH11&gt;$M11,"Fraqueza","Neutro"))))</f>
        <v>Neutro</v>
      </c>
      <c r="AJ11" s="73" t="n">
        <v>1.8691</v>
      </c>
      <c r="AK11" s="74" t="str">
        <f aca="false">IF(OR(AJ11="",$L11="",$M11=""),"",IF($E11="+",IF(AJ11&gt;$M11,"Força",IF(AJ11&lt;$L11,"Fraqueza","Neutro")),IF(AJ11&lt;$L11,"Força",IF(AJ11&gt;$M11,"Fraqueza","Neutro"))))</f>
        <v>Força</v>
      </c>
      <c r="AL11" s="73" t="n">
        <v>0.4719</v>
      </c>
      <c r="AM11" s="74" t="str">
        <f aca="false">IF(OR(AL11="",$L11="",$M11=""),"",IF($E11="+",IF(AL11&gt;$M11,"Força",IF(AL11&lt;$L11,"Fraqueza","Neutro")),IF(AL11&lt;$L11,"Força",IF(AL11&gt;$M11,"Fraqueza","Neutro"))))</f>
        <v>Fraqueza</v>
      </c>
    </row>
    <row r="12" customFormat="false" ht="23.25" hidden="false" customHeight="true" outlineLevel="0" collapsed="false">
      <c r="A12" s="75" t="s">
        <v>187</v>
      </c>
      <c r="B12" s="76" t="s">
        <v>76</v>
      </c>
      <c r="C12" s="76" t="s">
        <v>256</v>
      </c>
      <c r="D12" s="75" t="s">
        <v>246</v>
      </c>
      <c r="E12" s="70" t="s">
        <v>238</v>
      </c>
      <c r="F12" s="76" t="s">
        <v>257</v>
      </c>
      <c r="G12" s="70" t="n">
        <v>2024</v>
      </c>
      <c r="H12" s="70" t="s">
        <v>248</v>
      </c>
      <c r="I12" s="71" t="n">
        <v>36.92</v>
      </c>
      <c r="J12" s="71"/>
      <c r="K12" s="71"/>
      <c r="L12" s="72" t="n">
        <f aca="false">IF($H12="Absoluto",IF($J12="","",$J12),IF($I12="","",IF($H12="Razão MT",MIN($I12*(1-Parâmetros!$B$3),$I12*(1+Parâmetros!$B$3)),$I12-Parâmetros!$B$4)))</f>
        <v>34.92</v>
      </c>
      <c r="M12" s="72" t="n">
        <f aca="false">IF($H12="Absoluto",IF($K12="","",$K12),IF($I12="","",IF($H12="Razão MT",MAX($I12*(1-Parâmetros!$B$3),$I12*(1+Parâmetros!$B$3)),$I12+Parâmetros!$B$4)))</f>
        <v>38.92</v>
      </c>
      <c r="N12" s="71" t="n">
        <v>2299.57</v>
      </c>
      <c r="O12" s="74" t="str">
        <f aca="false">IF(OR(N12="",$L12="",$M12=""),"",IF($E12="+",IF(N12&gt;$M12,"Força",IF(N12&lt;$L12,"Fraqueza","Neutro")),IF(N12&lt;$L12,"Força",IF(N12&gt;$M12,"Fraqueza","Neutro"))))</f>
        <v>Força</v>
      </c>
      <c r="P12" s="71" t="n">
        <v>58.91</v>
      </c>
      <c r="Q12" s="74" t="str">
        <f aca="false">IF(OR(P12="",$L12="",$M12=""),"",IF($E12="+",IF(P12&gt;$M12,"Força",IF(P12&lt;$L12,"Fraqueza","Neutro")),IF(P12&lt;$L12,"Força",IF(P12&gt;$M12,"Fraqueza","Neutro"))))</f>
        <v>Força</v>
      </c>
      <c r="R12" s="71" t="n">
        <v>-45.74</v>
      </c>
      <c r="S12" s="74" t="str">
        <f aca="false">IF(OR(R12="",$L12="",$M12=""),"",IF($E12="+",IF(R12&gt;$M12,"Força",IF(R12&lt;$L12,"Fraqueza","Neutro")),IF(R12&lt;$L12,"Força",IF(R12&gt;$M12,"Fraqueza","Neutro"))))</f>
        <v>Fraqueza</v>
      </c>
      <c r="T12" s="71" t="n">
        <v>150</v>
      </c>
      <c r="U12" s="74" t="str">
        <f aca="false">IF(OR(T12="",$L12="",$M12=""),"",IF($E12="+",IF(T12&gt;$M12,"Força",IF(T12&lt;$L12,"Fraqueza","Neutro")),IF(T12&lt;$L12,"Força",IF(T12&gt;$M12,"Fraqueza","Neutro"))))</f>
        <v>Força</v>
      </c>
      <c r="V12" s="71" t="n">
        <v>123.51</v>
      </c>
      <c r="W12" s="74" t="str">
        <f aca="false">IF(OR(V12="",$L12="",$M12=""),"",IF($E12="+",IF(V12&gt;$M12,"Força",IF(V12&lt;$L12,"Fraqueza","Neutro")),IF(V12&lt;$L12,"Força",IF(V12&gt;$M12,"Fraqueza","Neutro"))))</f>
        <v>Força</v>
      </c>
      <c r="X12" s="71" t="n">
        <v>107.6</v>
      </c>
      <c r="Y12" s="74" t="str">
        <f aca="false">IF(OR(X12="",$L12="",$M12=""),"",IF($E12="+",IF(X12&gt;$M12,"Força",IF(X12&lt;$L12,"Fraqueza","Neutro")),IF(X12&lt;$L12,"Força",IF(X12&gt;$M12,"Fraqueza","Neutro"))))</f>
        <v>Força</v>
      </c>
      <c r="Z12" s="71" t="n">
        <v>17.39</v>
      </c>
      <c r="AA12" s="74" t="str">
        <f aca="false">IF(OR(Z12="",$L12="",$M12=""),"",IF($E12="+",IF(Z12&gt;$M12,"Força",IF(Z12&lt;$L12,"Fraqueza","Neutro")),IF(Z12&lt;$L12,"Força",IF(Z12&gt;$M12,"Fraqueza","Neutro"))))</f>
        <v>Fraqueza</v>
      </c>
      <c r="AB12" s="71" t="n">
        <v>1.57</v>
      </c>
      <c r="AC12" s="74" t="str">
        <f aca="false">IF(OR(AB12="",$L12="",$M12=""),"",IF($E12="+",IF(AB12&gt;$M12,"Força",IF(AB12&lt;$L12,"Fraqueza","Neutro")),IF(AB12&lt;$L12,"Força",IF(AB12&gt;$M12,"Fraqueza","Neutro"))))</f>
        <v>Fraqueza</v>
      </c>
      <c r="AD12" s="71" t="n">
        <v>64.63</v>
      </c>
      <c r="AE12" s="74" t="str">
        <f aca="false">IF(OR(AD12="",$L12="",$M12=""),"",IF($E12="+",IF(AD12&gt;$M12,"Força",IF(AD12&lt;$L12,"Fraqueza","Neutro")),IF(AD12&lt;$L12,"Força",IF(AD12&gt;$M12,"Fraqueza","Neutro"))))</f>
        <v>Força</v>
      </c>
      <c r="AF12" s="71" t="n">
        <v>31.45</v>
      </c>
      <c r="AG12" s="74" t="str">
        <f aca="false">IF(OR(AF12="",$L12="",$M12=""),"",IF($E12="+",IF(AF12&gt;$M12,"Força",IF(AF12&lt;$L12,"Fraqueza","Neutro")),IF(AF12&lt;$L12,"Força",IF(AF12&gt;$M12,"Fraqueza","Neutro"))))</f>
        <v>Fraqueza</v>
      </c>
      <c r="AH12" s="71" t="n">
        <v>633.3</v>
      </c>
      <c r="AI12" s="74" t="str">
        <f aca="false">IF(OR(AH12="",$L12="",$M12=""),"",IF($E12="+",IF(AH12&gt;$M12,"Força",IF(AH12&lt;$L12,"Fraqueza","Neutro")),IF(AH12&lt;$L12,"Força",IF(AH12&gt;$M12,"Fraqueza","Neutro"))))</f>
        <v>Força</v>
      </c>
      <c r="AJ12" s="71" t="n">
        <v>30.12</v>
      </c>
      <c r="AK12" s="74" t="str">
        <f aca="false">IF(OR(AJ12="",$L12="",$M12=""),"",IF($E12="+",IF(AJ12&gt;$M12,"Força",IF(AJ12&lt;$L12,"Fraqueza","Neutro")),IF(AJ12&lt;$L12,"Força",IF(AJ12&gt;$M12,"Fraqueza","Neutro"))))</f>
        <v>Fraqueza</v>
      </c>
      <c r="AL12" s="71" t="n">
        <v>100</v>
      </c>
      <c r="AM12" s="74" t="str">
        <f aca="false">IF(OR(AL12="",$L12="",$M12=""),"",IF($E12="+",IF(AL12&gt;$M12,"Força",IF(AL12&lt;$L12,"Fraqueza","Neutro")),IF(AL12&lt;$L12,"Força",IF(AL12&gt;$M12,"Fraqueza","Neutro"))))</f>
        <v>Força</v>
      </c>
    </row>
    <row r="13" customFormat="false" ht="15" hidden="false" customHeight="true" outlineLevel="0" collapsed="false">
      <c r="A13" s="75" t="s">
        <v>191</v>
      </c>
      <c r="B13" s="76" t="s">
        <v>76</v>
      </c>
      <c r="C13" s="76" t="s">
        <v>258</v>
      </c>
      <c r="D13" s="75" t="s">
        <v>259</v>
      </c>
      <c r="E13" s="70" t="s">
        <v>238</v>
      </c>
      <c r="F13" s="76" t="s">
        <v>257</v>
      </c>
      <c r="G13" s="70" t="n">
        <v>2024</v>
      </c>
      <c r="H13" s="70" t="s">
        <v>244</v>
      </c>
      <c r="I13" s="71" t="n">
        <v>2956.72</v>
      </c>
      <c r="J13" s="71"/>
      <c r="K13" s="71"/>
      <c r="L13" s="72" t="n">
        <f aca="false">IF($H13="Absoluto",IF($J13="","",$J13),IF($I13="","",IF($H13="Razão MT",MIN($I13*(1-Parâmetros!$B$3),$I13*(1+Parâmetros!$B$3)),$I13-Parâmetros!$B$4)))</f>
        <v>2661.048</v>
      </c>
      <c r="M13" s="72" t="n">
        <f aca="false">IF($H13="Absoluto",IF($K13="","",$K13),IF($I13="","",IF($H13="Razão MT",MAX($I13*(1-Parâmetros!$B$3),$I13*(1+Parâmetros!$B$3)),$I13+Parâmetros!$B$4)))</f>
        <v>3252.392</v>
      </c>
      <c r="N13" s="71" t="n">
        <v>2624.01</v>
      </c>
      <c r="O13" s="74" t="str">
        <f aca="false">IF(OR(N13="",$L13="",$M13=""),"",IF($E13="+",IF(N13&gt;$M13,"Força",IF(N13&lt;$L13,"Fraqueza","Neutro")),IF(N13&lt;$L13,"Força",IF(N13&gt;$M13,"Fraqueza","Neutro"))))</f>
        <v>Fraqueza</v>
      </c>
      <c r="P13" s="71" t="n">
        <v>2345.65</v>
      </c>
      <c r="Q13" s="74" t="str">
        <f aca="false">IF(OR(P13="",$L13="",$M13=""),"",IF($E13="+",IF(P13&gt;$M13,"Força",IF(P13&lt;$L13,"Fraqueza","Neutro")),IF(P13&lt;$L13,"Força",IF(P13&gt;$M13,"Fraqueza","Neutro"))))</f>
        <v>Fraqueza</v>
      </c>
      <c r="R13" s="71" t="n">
        <v>1956.93</v>
      </c>
      <c r="S13" s="74" t="str">
        <f aca="false">IF(OR(R13="",$L13="",$M13=""),"",IF($E13="+",IF(R13&gt;$M13,"Força",IF(R13&lt;$L13,"Fraqueza","Neutro")),IF(R13&lt;$L13,"Força",IF(R13&gt;$M13,"Fraqueza","Neutro"))))</f>
        <v>Fraqueza</v>
      </c>
      <c r="T13" s="71" t="n">
        <v>2190.43</v>
      </c>
      <c r="U13" s="74" t="str">
        <f aca="false">IF(OR(T13="",$L13="",$M13=""),"",IF($E13="+",IF(T13&gt;$M13,"Força",IF(T13&lt;$L13,"Fraqueza","Neutro")),IF(T13&lt;$L13,"Força",IF(T13&gt;$M13,"Fraqueza","Neutro"))))</f>
        <v>Fraqueza</v>
      </c>
      <c r="V13" s="71" t="n">
        <v>1503.38</v>
      </c>
      <c r="W13" s="74" t="str">
        <f aca="false">IF(OR(V13="",$L13="",$M13=""),"",IF($E13="+",IF(V13&gt;$M13,"Força",IF(V13&lt;$L13,"Fraqueza","Neutro")),IF(V13&lt;$L13,"Força",IF(V13&gt;$M13,"Fraqueza","Neutro"))))</f>
        <v>Fraqueza</v>
      </c>
      <c r="X13" s="71" t="n">
        <v>3141.45</v>
      </c>
      <c r="Y13" s="74" t="str">
        <f aca="false">IF(OR(X13="",$L13="",$M13=""),"",IF($E13="+",IF(X13&gt;$M13,"Força",IF(X13&lt;$L13,"Fraqueza","Neutro")),IF(X13&lt;$L13,"Força",IF(X13&gt;$M13,"Fraqueza","Neutro"))))</f>
        <v>Neutro</v>
      </c>
      <c r="Z13" s="71" t="n">
        <v>3096.65</v>
      </c>
      <c r="AA13" s="74" t="str">
        <f aca="false">IF(OR(Z13="",$L13="",$M13=""),"",IF($E13="+",IF(Z13&gt;$M13,"Força",IF(Z13&lt;$L13,"Fraqueza","Neutro")),IF(Z13&lt;$L13,"Força",IF(Z13&gt;$M13,"Fraqueza","Neutro"))))</f>
        <v>Neutro</v>
      </c>
      <c r="AB13" s="71" t="n">
        <v>2809.72</v>
      </c>
      <c r="AC13" s="74" t="str">
        <f aca="false">IF(OR(AB13="",$L13="",$M13=""),"",IF($E13="+",IF(AB13&gt;$M13,"Força",IF(AB13&lt;$L13,"Fraqueza","Neutro")),IF(AB13&lt;$L13,"Força",IF(AB13&gt;$M13,"Fraqueza","Neutro"))))</f>
        <v>Neutro</v>
      </c>
      <c r="AD13" s="71" t="n">
        <v>2895.19</v>
      </c>
      <c r="AE13" s="74" t="str">
        <f aca="false">IF(OR(AD13="",$L13="",$M13=""),"",IF($E13="+",IF(AD13&gt;$M13,"Força",IF(AD13&lt;$L13,"Fraqueza","Neutro")),IF(AD13&lt;$L13,"Força",IF(AD13&gt;$M13,"Fraqueza","Neutro"))))</f>
        <v>Neutro</v>
      </c>
      <c r="AF13" s="71" t="n">
        <v>2150.35</v>
      </c>
      <c r="AG13" s="74" t="str">
        <f aca="false">IF(OR(AF13="",$L13="",$M13=""),"",IF($E13="+",IF(AF13&gt;$M13,"Força",IF(AF13&lt;$L13,"Fraqueza","Neutro")),IF(AF13&lt;$L13,"Força",IF(AF13&gt;$M13,"Fraqueza","Neutro"))))</f>
        <v>Fraqueza</v>
      </c>
      <c r="AH13" s="71" t="n">
        <v>1432.11</v>
      </c>
      <c r="AI13" s="74" t="str">
        <f aca="false">IF(OR(AH13="",$L13="",$M13=""),"",IF($E13="+",IF(AH13&gt;$M13,"Força",IF(AH13&lt;$L13,"Fraqueza","Neutro")),IF(AH13&lt;$L13,"Força",IF(AH13&gt;$M13,"Fraqueza","Neutro"))))</f>
        <v>Fraqueza</v>
      </c>
      <c r="AJ13" s="71" t="n">
        <v>2903.68</v>
      </c>
      <c r="AK13" s="74" t="str">
        <f aca="false">IF(OR(AJ13="",$L13="",$M13=""),"",IF($E13="+",IF(AJ13&gt;$M13,"Força",IF(AJ13&lt;$L13,"Fraqueza","Neutro")),IF(AJ13&lt;$L13,"Força",IF(AJ13&gt;$M13,"Fraqueza","Neutro"))))</f>
        <v>Neutro</v>
      </c>
      <c r="AL13" s="71" t="n">
        <v>2394.42</v>
      </c>
      <c r="AM13" s="74" t="str">
        <f aca="false">IF(OR(AL13="",$L13="",$M13=""),"",IF($E13="+",IF(AL13&gt;$M13,"Força",IF(AL13&lt;$L13,"Fraqueza","Neutro")),IF(AL13&lt;$L13,"Força",IF(AL13&gt;$M13,"Fraqueza","Neutro"))))</f>
        <v>Fraqueza</v>
      </c>
    </row>
    <row r="14" customFormat="false" ht="23.25" hidden="false" customHeight="true" outlineLevel="0" collapsed="false">
      <c r="A14" s="77" t="s">
        <v>260</v>
      </c>
      <c r="B14" s="78" t="s">
        <v>261</v>
      </c>
      <c r="C14" s="78" t="s">
        <v>262</v>
      </c>
      <c r="D14" s="77" t="s">
        <v>237</v>
      </c>
      <c r="E14" s="70" t="s">
        <v>238</v>
      </c>
      <c r="F14" s="78" t="s">
        <v>239</v>
      </c>
      <c r="G14" s="70" t="n">
        <v>2021</v>
      </c>
      <c r="H14" s="70" t="s">
        <v>240</v>
      </c>
      <c r="I14" s="71" t="n">
        <v>1</v>
      </c>
      <c r="J14" s="71" t="n">
        <v>0.8</v>
      </c>
      <c r="K14" s="71" t="n">
        <v>1.2</v>
      </c>
      <c r="L14" s="72" t="n">
        <f aca="false">IF($H14="Absoluto",IF($J14="","",$J14),IF($I14="","",IF($H14="Razão MT",MIN($I14*(1-Parâmetros!$B$3),$I14*(1+Parâmetros!$B$3)),$I14-Parâmetros!$B$4)))</f>
        <v>0.8</v>
      </c>
      <c r="M14" s="72" t="n">
        <f aca="false">IF($H14="Absoluto",IF($K14="","",$K14),IF($I14="","",IF($H14="Razão MT",MAX($I14*(1-Parâmetros!$B$3),$I14*(1+Parâmetros!$B$3)),$I14+Parâmetros!$B$4)))</f>
        <v>1.2</v>
      </c>
      <c r="N14" s="73" t="n">
        <v>0.4274</v>
      </c>
      <c r="O14" s="74" t="str">
        <f aca="false">IF(OR(N14="",$L14="",$M14=""),"",IF($E14="+",IF(N14&gt;$M14,"Força",IF(N14&lt;$L14,"Fraqueza","Neutro")),IF(N14&lt;$L14,"Força",IF(N14&gt;$M14,"Fraqueza","Neutro"))))</f>
        <v>Fraqueza</v>
      </c>
      <c r="P14" s="73" t="n">
        <v>1.3013</v>
      </c>
      <c r="Q14" s="74" t="str">
        <f aca="false">IF(OR(P14="",$L14="",$M14=""),"",IF($E14="+",IF(P14&gt;$M14,"Força",IF(P14&lt;$L14,"Fraqueza","Neutro")),IF(P14&lt;$L14,"Força",IF(P14&gt;$M14,"Fraqueza","Neutro"))))</f>
        <v>Força</v>
      </c>
      <c r="R14" s="73" t="n">
        <v>0.5029</v>
      </c>
      <c r="S14" s="74" t="str">
        <f aca="false">IF(OR(R14="",$L14="",$M14=""),"",IF($E14="+",IF(R14&gt;$M14,"Força",IF(R14&lt;$L14,"Fraqueza","Neutro")),IF(R14&lt;$L14,"Força",IF(R14&gt;$M14,"Fraqueza","Neutro"))))</f>
        <v>Fraqueza</v>
      </c>
      <c r="T14" s="73" t="n">
        <v>0.4636</v>
      </c>
      <c r="U14" s="74" t="str">
        <f aca="false">IF(OR(T14="",$L14="",$M14=""),"",IF($E14="+",IF(T14&gt;$M14,"Força",IF(T14&lt;$L14,"Fraqueza","Neutro")),IF(T14&lt;$L14,"Força",IF(T14&gt;$M14,"Fraqueza","Neutro"))))</f>
        <v>Fraqueza</v>
      </c>
      <c r="V14" s="73" t="n">
        <v>0.3623</v>
      </c>
      <c r="W14" s="74" t="str">
        <f aca="false">IF(OR(V14="",$L14="",$M14=""),"",IF($E14="+",IF(V14&gt;$M14,"Força",IF(V14&lt;$L14,"Fraqueza","Neutro")),IF(V14&lt;$L14,"Força",IF(V14&gt;$M14,"Fraqueza","Neutro"))))</f>
        <v>Fraqueza</v>
      </c>
      <c r="X14" s="73" t="n">
        <v>0.4388</v>
      </c>
      <c r="Y14" s="74" t="str">
        <f aca="false">IF(OR(X14="",$L14="",$M14=""),"",IF($E14="+",IF(X14&gt;$M14,"Força",IF(X14&lt;$L14,"Fraqueza","Neutro")),IF(X14&lt;$L14,"Força",IF(X14&gt;$M14,"Fraqueza","Neutro"))))</f>
        <v>Fraqueza</v>
      </c>
      <c r="Z14" s="73" t="n">
        <v>0.3227</v>
      </c>
      <c r="AA14" s="74" t="str">
        <f aca="false">IF(OR(Z14="",$L14="",$M14=""),"",IF($E14="+",IF(Z14&gt;$M14,"Força",IF(Z14&lt;$L14,"Fraqueza","Neutro")),IF(Z14&lt;$L14,"Força",IF(Z14&gt;$M14,"Fraqueza","Neutro"))))</f>
        <v>Fraqueza</v>
      </c>
      <c r="AB14" s="73" t="n">
        <v>1.1498</v>
      </c>
      <c r="AC14" s="74" t="str">
        <f aca="false">IF(OR(AB14="",$L14="",$M14=""),"",IF($E14="+",IF(AB14&gt;$M14,"Força",IF(AB14&lt;$L14,"Fraqueza","Neutro")),IF(AB14&lt;$L14,"Força",IF(AB14&gt;$M14,"Fraqueza","Neutro"))))</f>
        <v>Neutro</v>
      </c>
      <c r="AD14" s="73" t="n">
        <v>0.7089</v>
      </c>
      <c r="AE14" s="74" t="str">
        <f aca="false">IF(OR(AD14="",$L14="",$M14=""),"",IF($E14="+",IF(AD14&gt;$M14,"Força",IF(AD14&lt;$L14,"Fraqueza","Neutro")),IF(AD14&lt;$L14,"Força",IF(AD14&gt;$M14,"Fraqueza","Neutro"))))</f>
        <v>Fraqueza</v>
      </c>
      <c r="AF14" s="73" t="n">
        <v>1.1034</v>
      </c>
      <c r="AG14" s="74" t="str">
        <f aca="false">IF(OR(AF14="",$L14="",$M14=""),"",IF($E14="+",IF(AF14&gt;$M14,"Força",IF(AF14&lt;$L14,"Fraqueza","Neutro")),IF(AF14&lt;$L14,"Força",IF(AF14&gt;$M14,"Fraqueza","Neutro"))))</f>
        <v>Neutro</v>
      </c>
      <c r="AH14" s="73" t="n">
        <v>0.505</v>
      </c>
      <c r="AI14" s="74" t="str">
        <f aca="false">IF(OR(AH14="",$L14="",$M14=""),"",IF($E14="+",IF(AH14&gt;$M14,"Força",IF(AH14&lt;$L14,"Fraqueza","Neutro")),IF(AH14&lt;$L14,"Força",IF(AH14&gt;$M14,"Fraqueza","Neutro"))))</f>
        <v>Fraqueza</v>
      </c>
      <c r="AJ14" s="73" t="n">
        <v>1.5988</v>
      </c>
      <c r="AK14" s="74" t="str">
        <f aca="false">IF(OR(AJ14="",$L14="",$M14=""),"",IF($E14="+",IF(AJ14&gt;$M14,"Força",IF(AJ14&lt;$L14,"Fraqueza","Neutro")),IF(AJ14&lt;$L14,"Força",IF(AJ14&gt;$M14,"Fraqueza","Neutro"))))</f>
        <v>Força</v>
      </c>
      <c r="AL14" s="73" t="n">
        <v>0.3417</v>
      </c>
      <c r="AM14" s="74" t="str">
        <f aca="false">IF(OR(AL14="",$L14="",$M14=""),"",IF($E14="+",IF(AL14&gt;$M14,"Força",IF(AL14&lt;$L14,"Fraqueza","Neutro")),IF(AL14&lt;$L14,"Força",IF(AL14&gt;$M14,"Fraqueza","Neutro"))))</f>
        <v>Fraqueza</v>
      </c>
    </row>
    <row r="15" customFormat="false" ht="23.25" hidden="false" customHeight="true" outlineLevel="0" collapsed="false">
      <c r="A15" s="77" t="s">
        <v>194</v>
      </c>
      <c r="B15" s="78" t="s">
        <v>261</v>
      </c>
      <c r="C15" s="78" t="s">
        <v>263</v>
      </c>
      <c r="D15" s="77" t="s">
        <v>246</v>
      </c>
      <c r="E15" s="70" t="s">
        <v>238</v>
      </c>
      <c r="F15" s="78" t="s">
        <v>257</v>
      </c>
      <c r="G15" s="70" t="n">
        <v>2024</v>
      </c>
      <c r="H15" s="70" t="s">
        <v>248</v>
      </c>
      <c r="I15" s="71" t="n">
        <v>38.11</v>
      </c>
      <c r="J15" s="71"/>
      <c r="K15" s="71"/>
      <c r="L15" s="72" t="n">
        <f aca="false">IF($H15="Absoluto",IF($J15="","",$J15),IF($I15="","",IF($H15="Razão MT",MIN($I15*(1-Parâmetros!$B$3),$I15*(1+Parâmetros!$B$3)),$I15-Parâmetros!$B$4)))</f>
        <v>36.11</v>
      </c>
      <c r="M15" s="72" t="n">
        <f aca="false">IF($H15="Absoluto",IF($K15="","",$K15),IF($I15="","",IF($H15="Razão MT",MAX($I15*(1-Parâmetros!$B$3),$I15*(1+Parâmetros!$B$3)),$I15+Parâmetros!$B$4)))</f>
        <v>40.11</v>
      </c>
      <c r="N15" s="71" t="n">
        <v>28.79</v>
      </c>
      <c r="O15" s="74" t="str">
        <f aca="false">IF(OR(N15="",$L15="",$M15=""),"",IF($E15="+",IF(N15&gt;$M15,"Força",IF(N15&lt;$L15,"Fraqueza","Neutro")),IF(N15&lt;$L15,"Força",IF(N15&gt;$M15,"Fraqueza","Neutro"))))</f>
        <v>Fraqueza</v>
      </c>
      <c r="P15" s="71" t="n">
        <v>13.05</v>
      </c>
      <c r="Q15" s="74" t="str">
        <f aca="false">IF(OR(P15="",$L15="",$M15=""),"",IF($E15="+",IF(P15&gt;$M15,"Força",IF(P15&lt;$L15,"Fraqueza","Neutro")),IF(P15&lt;$L15,"Força",IF(P15&gt;$M15,"Fraqueza","Neutro"))))</f>
        <v>Fraqueza</v>
      </c>
      <c r="R15" s="71" t="n">
        <v>89.04</v>
      </c>
      <c r="S15" s="74" t="str">
        <f aca="false">IF(OR(R15="",$L15="",$M15=""),"",IF($E15="+",IF(R15&gt;$M15,"Força",IF(R15&lt;$L15,"Fraqueza","Neutro")),IF(R15&lt;$L15,"Força",IF(R15&gt;$M15,"Fraqueza","Neutro"))))</f>
        <v>Força</v>
      </c>
      <c r="T15" s="71" t="n">
        <v>-10.46</v>
      </c>
      <c r="U15" s="74" t="str">
        <f aca="false">IF(OR(T15="",$L15="",$M15=""),"",IF($E15="+",IF(T15&gt;$M15,"Força",IF(T15&lt;$L15,"Fraqueza","Neutro")),IF(T15&lt;$L15,"Força",IF(T15&gt;$M15,"Fraqueza","Neutro"))))</f>
        <v>Fraqueza</v>
      </c>
      <c r="V15" s="71" t="n">
        <v>27.74</v>
      </c>
      <c r="W15" s="74" t="str">
        <f aca="false">IF(OR(V15="",$L15="",$M15=""),"",IF($E15="+",IF(V15&gt;$M15,"Força",IF(V15&lt;$L15,"Fraqueza","Neutro")),IF(V15&lt;$L15,"Força",IF(V15&gt;$M15,"Fraqueza","Neutro"))))</f>
        <v>Fraqueza</v>
      </c>
      <c r="X15" s="71" t="n">
        <v>41.4</v>
      </c>
      <c r="Y15" s="74" t="str">
        <f aca="false">IF(OR(X15="",$L15="",$M15=""),"",IF($E15="+",IF(X15&gt;$M15,"Força",IF(X15&lt;$L15,"Fraqueza","Neutro")),IF(X15&lt;$L15,"Força",IF(X15&gt;$M15,"Fraqueza","Neutro"))))</f>
        <v>Força</v>
      </c>
      <c r="Z15" s="71" t="n">
        <v>13.39</v>
      </c>
      <c r="AA15" s="74" t="str">
        <f aca="false">IF(OR(Z15="",$L15="",$M15=""),"",IF($E15="+",IF(Z15&gt;$M15,"Força",IF(Z15&lt;$L15,"Fraqueza","Neutro")),IF(Z15&lt;$L15,"Força",IF(Z15&gt;$M15,"Fraqueza","Neutro"))))</f>
        <v>Fraqueza</v>
      </c>
      <c r="AB15" s="71" t="n">
        <v>14.99</v>
      </c>
      <c r="AC15" s="74" t="str">
        <f aca="false">IF(OR(AB15="",$L15="",$M15=""),"",IF($E15="+",IF(AB15&gt;$M15,"Força",IF(AB15&lt;$L15,"Fraqueza","Neutro")),IF(AB15&lt;$L15,"Força",IF(AB15&gt;$M15,"Fraqueza","Neutro"))))</f>
        <v>Fraqueza</v>
      </c>
      <c r="AD15" s="71" t="n">
        <v>158.22</v>
      </c>
      <c r="AE15" s="74" t="str">
        <f aca="false">IF(OR(AD15="",$L15="",$M15=""),"",IF($E15="+",IF(AD15&gt;$M15,"Força",IF(AD15&lt;$L15,"Fraqueza","Neutro")),IF(AD15&lt;$L15,"Força",IF(AD15&gt;$M15,"Fraqueza","Neutro"))))</f>
        <v>Força</v>
      </c>
      <c r="AF15" s="71" t="n">
        <v>30.43</v>
      </c>
      <c r="AG15" s="74" t="str">
        <f aca="false">IF(OR(AF15="",$L15="",$M15=""),"",IF($E15="+",IF(AF15&gt;$M15,"Força",IF(AF15&lt;$L15,"Fraqueza","Neutro")),IF(AF15&lt;$L15,"Força",IF(AF15&gt;$M15,"Fraqueza","Neutro"))))</f>
        <v>Fraqueza</v>
      </c>
      <c r="AH15" s="71" t="n">
        <v>-12.56</v>
      </c>
      <c r="AI15" s="74" t="str">
        <f aca="false">IF(OR(AH15="",$L15="",$M15=""),"",IF($E15="+",IF(AH15&gt;$M15,"Força",IF(AH15&lt;$L15,"Fraqueza","Neutro")),IF(AH15&lt;$L15,"Força",IF(AH15&gt;$M15,"Fraqueza","Neutro"))))</f>
        <v>Fraqueza</v>
      </c>
      <c r="AJ15" s="71" t="n">
        <v>40.03</v>
      </c>
      <c r="AK15" s="74" t="str">
        <f aca="false">IF(OR(AJ15="",$L15="",$M15=""),"",IF($E15="+",IF(AJ15&gt;$M15,"Força",IF(AJ15&lt;$L15,"Fraqueza","Neutro")),IF(AJ15&lt;$L15,"Força",IF(AJ15&gt;$M15,"Fraqueza","Neutro"))))</f>
        <v>Neutro</v>
      </c>
      <c r="AL15" s="71" t="n">
        <v>31.02</v>
      </c>
      <c r="AM15" s="74" t="str">
        <f aca="false">IF(OR(AL15="",$L15="",$M15=""),"",IF($E15="+",IF(AL15&gt;$M15,"Força",IF(AL15&lt;$L15,"Fraqueza","Neutro")),IF(AL15&lt;$L15,"Força",IF(AL15&gt;$M15,"Fraqueza","Neutro"))))</f>
        <v>Fraqueza</v>
      </c>
    </row>
    <row r="16" customFormat="false" ht="23.25" hidden="false" customHeight="true" outlineLevel="0" collapsed="false">
      <c r="A16" s="77" t="s">
        <v>158</v>
      </c>
      <c r="B16" s="78" t="s">
        <v>261</v>
      </c>
      <c r="C16" s="78" t="s">
        <v>264</v>
      </c>
      <c r="D16" s="77" t="s">
        <v>265</v>
      </c>
      <c r="E16" s="70" t="s">
        <v>238</v>
      </c>
      <c r="F16" s="78" t="s">
        <v>266</v>
      </c>
      <c r="G16" s="70" t="n">
        <v>2021</v>
      </c>
      <c r="H16" s="70" t="s">
        <v>244</v>
      </c>
      <c r="I16" s="71" t="n">
        <v>33.22</v>
      </c>
      <c r="J16" s="71"/>
      <c r="K16" s="71"/>
      <c r="L16" s="72" t="n">
        <f aca="false">IF($H16="Absoluto",IF($J16="","",$J16),IF($I16="","",IF($H16="Razão MT",MIN($I16*(1-Parâmetros!$B$3),$I16*(1+Parâmetros!$B$3)),$I16-Parâmetros!$B$4)))</f>
        <v>29.898</v>
      </c>
      <c r="M16" s="72" t="n">
        <f aca="false">IF($H16="Absoluto",IF($K16="","",$K16),IF($I16="","",IF($H16="Razão MT",MAX($I16*(1-Parâmetros!$B$3),$I16*(1+Parâmetros!$B$3)),$I16+Parâmetros!$B$4)))</f>
        <v>36.542</v>
      </c>
      <c r="N16" s="71" t="n">
        <v>9.06</v>
      </c>
      <c r="O16" s="74" t="str">
        <f aca="false">IF(OR(N16="",$L16="",$M16=""),"",IF($E16="+",IF(N16&gt;$M16,"Força",IF(N16&lt;$L16,"Fraqueza","Neutro")),IF(N16&lt;$L16,"Força",IF(N16&gt;$M16,"Fraqueza","Neutro"))))</f>
        <v>Fraqueza</v>
      </c>
      <c r="P16" s="71" t="n">
        <v>19.41</v>
      </c>
      <c r="Q16" s="74" t="str">
        <f aca="false">IF(OR(P16="",$L16="",$M16=""),"",IF($E16="+",IF(P16&gt;$M16,"Força",IF(P16&lt;$L16,"Fraqueza","Neutro")),IF(P16&lt;$L16,"Força",IF(P16&gt;$M16,"Fraqueza","Neutro"))))</f>
        <v>Fraqueza</v>
      </c>
      <c r="R16" s="71" t="n">
        <v>15.95</v>
      </c>
      <c r="S16" s="74" t="str">
        <f aca="false">IF(OR(R16="",$L16="",$M16=""),"",IF($E16="+",IF(R16&gt;$M16,"Força",IF(R16&lt;$L16,"Fraqueza","Neutro")),IF(R16&lt;$L16,"Força",IF(R16&gt;$M16,"Fraqueza","Neutro"))))</f>
        <v>Fraqueza</v>
      </c>
      <c r="T16" s="71" t="n">
        <v>19.4</v>
      </c>
      <c r="U16" s="74" t="str">
        <f aca="false">IF(OR(T16="",$L16="",$M16=""),"",IF($E16="+",IF(T16&gt;$M16,"Força",IF(T16&lt;$L16,"Fraqueza","Neutro")),IF(T16&lt;$L16,"Força",IF(T16&gt;$M16,"Fraqueza","Neutro"))))</f>
        <v>Fraqueza</v>
      </c>
      <c r="V16" s="71" t="n">
        <v>21.49</v>
      </c>
      <c r="W16" s="74" t="str">
        <f aca="false">IF(OR(V16="",$L16="",$M16=""),"",IF($E16="+",IF(V16&gt;$M16,"Força",IF(V16&lt;$L16,"Fraqueza","Neutro")),IF(V16&lt;$L16,"Força",IF(V16&gt;$M16,"Fraqueza","Neutro"))))</f>
        <v>Fraqueza</v>
      </c>
      <c r="X16" s="71" t="n">
        <v>17.26</v>
      </c>
      <c r="Y16" s="74" t="str">
        <f aca="false">IF(OR(X16="",$L16="",$M16=""),"",IF($E16="+",IF(X16&gt;$M16,"Força",IF(X16&lt;$L16,"Fraqueza","Neutro")),IF(X16&lt;$L16,"Força",IF(X16&gt;$M16,"Fraqueza","Neutro"))))</f>
        <v>Fraqueza</v>
      </c>
      <c r="Z16" s="71" t="n">
        <v>14.41</v>
      </c>
      <c r="AA16" s="74" t="str">
        <f aca="false">IF(OR(Z16="",$L16="",$M16=""),"",IF($E16="+",IF(Z16&gt;$M16,"Força",IF(Z16&lt;$L16,"Fraqueza","Neutro")),IF(Z16&lt;$L16,"Força",IF(Z16&gt;$M16,"Fraqueza","Neutro"))))</f>
        <v>Fraqueza</v>
      </c>
      <c r="AB16" s="71" t="n">
        <v>32.17</v>
      </c>
      <c r="AC16" s="74" t="str">
        <f aca="false">IF(OR(AB16="",$L16="",$M16=""),"",IF($E16="+",IF(AB16&gt;$M16,"Força",IF(AB16&lt;$L16,"Fraqueza","Neutro")),IF(AB16&lt;$L16,"Força",IF(AB16&gt;$M16,"Fraqueza","Neutro"))))</f>
        <v>Neutro</v>
      </c>
      <c r="AD16" s="71" t="n">
        <v>14.51</v>
      </c>
      <c r="AE16" s="74" t="str">
        <f aca="false">IF(OR(AD16="",$L16="",$M16=""),"",IF($E16="+",IF(AD16&gt;$M16,"Força",IF(AD16&lt;$L16,"Fraqueza","Neutro")),IF(AD16&lt;$L16,"Força",IF(AD16&gt;$M16,"Fraqueza","Neutro"))))</f>
        <v>Fraqueza</v>
      </c>
      <c r="AF16" s="71" t="n">
        <v>16.35</v>
      </c>
      <c r="AG16" s="74" t="str">
        <f aca="false">IF(OR(AF16="",$L16="",$M16=""),"",IF($E16="+",IF(AF16&gt;$M16,"Força",IF(AF16&lt;$L16,"Fraqueza","Neutro")),IF(AF16&lt;$L16,"Força",IF(AF16&gt;$M16,"Fraqueza","Neutro"))))</f>
        <v>Fraqueza</v>
      </c>
      <c r="AH16" s="71" t="n">
        <v>13.06</v>
      </c>
      <c r="AI16" s="74" t="str">
        <f aca="false">IF(OR(AH16="",$L16="",$M16=""),"",IF($E16="+",IF(AH16&gt;$M16,"Força",IF(AH16&lt;$L16,"Fraqueza","Neutro")),IF(AH16&lt;$L16,"Força",IF(AH16&gt;$M16,"Fraqueza","Neutro"))))</f>
        <v>Fraqueza</v>
      </c>
      <c r="AJ16" s="71" t="n">
        <v>36.86</v>
      </c>
      <c r="AK16" s="74" t="str">
        <f aca="false">IF(OR(AJ16="",$L16="",$M16=""),"",IF($E16="+",IF(AJ16&gt;$M16,"Força",IF(AJ16&lt;$L16,"Fraqueza","Neutro")),IF(AJ16&lt;$L16,"Força",IF(AJ16&gt;$M16,"Fraqueza","Neutro"))))</f>
        <v>Força</v>
      </c>
      <c r="AL16" s="71" t="n">
        <v>16.12</v>
      </c>
      <c r="AM16" s="74" t="str">
        <f aca="false">IF(OR(AL16="",$L16="",$M16=""),"",IF($E16="+",IF(AL16&gt;$M16,"Força",IF(AL16&lt;$L16,"Fraqueza","Neutro")),IF(AL16&lt;$L16,"Força",IF(AL16&gt;$M16,"Fraqueza","Neutro"))))</f>
        <v>Fraqueza</v>
      </c>
    </row>
    <row r="17" customFormat="false" ht="34.5" hidden="false" customHeight="true" outlineLevel="0" collapsed="false">
      <c r="A17" s="79" t="s">
        <v>142</v>
      </c>
      <c r="B17" s="80" t="s">
        <v>267</v>
      </c>
      <c r="C17" s="80" t="s">
        <v>268</v>
      </c>
      <c r="D17" s="79" t="s">
        <v>259</v>
      </c>
      <c r="E17" s="70" t="s">
        <v>238</v>
      </c>
      <c r="F17" s="80" t="s">
        <v>239</v>
      </c>
      <c r="G17" s="70" t="n">
        <v>2023</v>
      </c>
      <c r="H17" s="70" t="s">
        <v>244</v>
      </c>
      <c r="I17" s="71" t="n">
        <v>74620.05</v>
      </c>
      <c r="J17" s="71"/>
      <c r="K17" s="71"/>
      <c r="L17" s="72" t="n">
        <f aca="false">IF($H17="Absoluto",IF($J17="","",$J17),IF($I17="","",IF($H17="Razão MT",MIN($I17*(1-Parâmetros!$B$3),$I17*(1+Parâmetros!$B$3)),$I17-Parâmetros!$B$4)))</f>
        <v>67158.045</v>
      </c>
      <c r="M17" s="72" t="n">
        <f aca="false">IF($H17="Absoluto",IF($K17="","",$K17),IF($I17="","",IF($H17="Razão MT",MAX($I17*(1-Parâmetros!$B$3),$I17*(1+Parâmetros!$B$3)),$I17+Parâmetros!$B$4)))</f>
        <v>82082.055</v>
      </c>
      <c r="N17" s="81" t="n">
        <v>19806.58</v>
      </c>
      <c r="O17" s="74" t="str">
        <f aca="false">IF(OR(N17="",$L17="",$M17=""),"",IF($E17="+",IF(N17&gt;$M17,"Força",IF(N17&lt;$L17,"Fraqueza","Neutro")),IF(N17&lt;$L17,"Força",IF(N17&gt;$M17,"Fraqueza","Neutro"))))</f>
        <v>Fraqueza</v>
      </c>
      <c r="P17" s="81" t="n">
        <v>31174.15</v>
      </c>
      <c r="Q17" s="74" t="str">
        <f aca="false">IF(OR(P17="",$L17="",$M17=""),"",IF($E17="+",IF(P17&gt;$M17,"Força",IF(P17&lt;$L17,"Fraqueza","Neutro")),IF(P17&lt;$L17,"Força",IF(P17&gt;$M17,"Fraqueza","Neutro"))))</f>
        <v>Fraqueza</v>
      </c>
      <c r="R17" s="81" t="n">
        <v>27693.14</v>
      </c>
      <c r="S17" s="74" t="str">
        <f aca="false">IF(OR(R17="",$L17="",$M17=""),"",IF($E17="+",IF(R17&gt;$M17,"Força",IF(R17&lt;$L17,"Fraqueza","Neutro")),IF(R17&lt;$L17,"Força",IF(R17&gt;$M17,"Fraqueza","Neutro"))))</f>
        <v>Fraqueza</v>
      </c>
      <c r="T17" s="81" t="n">
        <v>39644.82</v>
      </c>
      <c r="U17" s="74" t="str">
        <f aca="false">IF(OR(T17="",$L17="",$M17=""),"",IF($E17="+",IF(T17&gt;$M17,"Força",IF(T17&lt;$L17,"Fraqueza","Neutro")),IF(T17&lt;$L17,"Força",IF(T17&gt;$M17,"Fraqueza","Neutro"))))</f>
        <v>Fraqueza</v>
      </c>
      <c r="V17" s="81" t="n">
        <v>167482.75</v>
      </c>
      <c r="W17" s="74" t="str">
        <f aca="false">IF(OR(V17="",$L17="",$M17=""),"",IF($E17="+",IF(V17&gt;$M17,"Força",IF(V17&lt;$L17,"Fraqueza","Neutro")),IF(V17&lt;$L17,"Força",IF(V17&gt;$M17,"Fraqueza","Neutro"))))</f>
        <v>Força</v>
      </c>
      <c r="X17" s="81" t="n">
        <v>48349.24</v>
      </c>
      <c r="Y17" s="74" t="str">
        <f aca="false">IF(OR(X17="",$L17="",$M17=""),"",IF($E17="+",IF(X17&gt;$M17,"Força",IF(X17&lt;$L17,"Fraqueza","Neutro")),IF(X17&lt;$L17,"Força",IF(X17&gt;$M17,"Fraqueza","Neutro"))))</f>
        <v>Fraqueza</v>
      </c>
      <c r="Z17" s="81" t="n">
        <v>59335.82</v>
      </c>
      <c r="AA17" s="74" t="str">
        <f aca="false">IF(OR(Z17="",$L17="",$M17=""),"",IF($E17="+",IF(Z17&gt;$M17,"Força",IF(Z17&lt;$L17,"Fraqueza","Neutro")),IF(Z17&lt;$L17,"Força",IF(Z17&gt;$M17,"Fraqueza","Neutro"))))</f>
        <v>Fraqueza</v>
      </c>
      <c r="AB17" s="81" t="n">
        <v>43433.97</v>
      </c>
      <c r="AC17" s="74" t="str">
        <f aca="false">IF(OR(AB17="",$L17="",$M17=""),"",IF($E17="+",IF(AB17&gt;$M17,"Força",IF(AB17&lt;$L17,"Fraqueza","Neutro")),IF(AB17&lt;$L17,"Força",IF(AB17&gt;$M17,"Fraqueza","Neutro"))))</f>
        <v>Fraqueza</v>
      </c>
      <c r="AD17" s="81" t="n">
        <v>33510.51</v>
      </c>
      <c r="AE17" s="74" t="str">
        <f aca="false">IF(OR(AD17="",$L17="",$M17=""),"",IF($E17="+",IF(AD17&gt;$M17,"Força",IF(AD17&lt;$L17,"Fraqueza","Neutro")),IF(AD17&lt;$L17,"Força",IF(AD17&gt;$M17,"Fraqueza","Neutro"))))</f>
        <v>Fraqueza</v>
      </c>
      <c r="AF17" s="81" t="n">
        <v>27609.14</v>
      </c>
      <c r="AG17" s="74" t="str">
        <f aca="false">IF(OR(AF17="",$L17="",$M17=""),"",IF($E17="+",IF(AF17&gt;$M17,"Força",IF(AF17&lt;$L17,"Fraqueza","Neutro")),IF(AF17&lt;$L17,"Força",IF(AF17&gt;$M17,"Fraqueza","Neutro"))))</f>
        <v>Fraqueza</v>
      </c>
      <c r="AH17" s="81" t="n">
        <v>31726.19</v>
      </c>
      <c r="AI17" s="74" t="str">
        <f aca="false">IF(OR(AH17="",$L17="",$M17=""),"",IF($E17="+",IF(AH17&gt;$M17,"Força",IF(AH17&lt;$L17,"Fraqueza","Neutro")),IF(AH17&lt;$L17,"Força",IF(AH17&gt;$M17,"Fraqueza","Neutro"))))</f>
        <v>Fraqueza</v>
      </c>
      <c r="AJ17" s="81" t="n">
        <v>67650.09</v>
      </c>
      <c r="AK17" s="74" t="str">
        <f aca="false">IF(OR(AJ17="",$L17="",$M17=""),"",IF($E17="+",IF(AJ17&gt;$M17,"Força",IF(AJ17&lt;$L17,"Fraqueza","Neutro")),IF(AJ17&lt;$L17,"Força",IF(AJ17&gt;$M17,"Fraqueza","Neutro"))))</f>
        <v>Neutro</v>
      </c>
      <c r="AL17" s="81" t="n">
        <v>48781.11</v>
      </c>
      <c r="AM17" s="74" t="str">
        <f aca="false">IF(OR(AL17="",$L17="",$M17=""),"",IF($E17="+",IF(AL17&gt;$M17,"Força",IF(AL17&lt;$L17,"Fraqueza","Neutro")),IF(AL17&lt;$L17,"Força",IF(AL17&gt;$M17,"Fraqueza","Neutro"))))</f>
        <v>Fraqueza</v>
      </c>
    </row>
    <row r="18" customFormat="false" ht="34.5" hidden="false" customHeight="true" outlineLevel="0" collapsed="false">
      <c r="A18" s="79" t="s">
        <v>138</v>
      </c>
      <c r="B18" s="80" t="s">
        <v>267</v>
      </c>
      <c r="C18" s="80" t="s">
        <v>269</v>
      </c>
      <c r="D18" s="79" t="s">
        <v>246</v>
      </c>
      <c r="E18" s="70" t="s">
        <v>270</v>
      </c>
      <c r="F18" s="80" t="s">
        <v>239</v>
      </c>
      <c r="G18" s="70" t="n">
        <v>2021</v>
      </c>
      <c r="H18" s="70" t="s">
        <v>248</v>
      </c>
      <c r="I18" s="71" t="n">
        <v>11.89</v>
      </c>
      <c r="J18" s="71"/>
      <c r="K18" s="71"/>
      <c r="L18" s="72" t="n">
        <f aca="false">IF($H18="Absoluto",IF($J18="","",$J18),IF($I18="","",IF($H18="Razão MT",MIN($I18*(1-Parâmetros!$B$3),$I18*(1+Parâmetros!$B$3)),$I18-Parâmetros!$B$4)))</f>
        <v>9.89</v>
      </c>
      <c r="M18" s="72" t="n">
        <f aca="false">IF($H18="Absoluto",IF($K18="","",$K18),IF($I18="","",IF($H18="Razão MT",MAX($I18*(1-Parâmetros!$B$3),$I18*(1+Parâmetros!$B$3)),$I18+Parâmetros!$B$4)))</f>
        <v>13.89</v>
      </c>
      <c r="N18" s="82" t="n">
        <v>45.95</v>
      </c>
      <c r="O18" s="74" t="str">
        <f aca="false">IF(OR(N18="",$L18="",$M18=""),"",IF($E18="+",IF(N18&gt;$M18,"Força",IF(N18&lt;$L18,"Fraqueza","Neutro")),IF(N18&lt;$L18,"Força",IF(N18&gt;$M18,"Fraqueza","Neutro"))))</f>
        <v>Fraqueza</v>
      </c>
      <c r="P18" s="82" t="n">
        <v>30.82</v>
      </c>
      <c r="Q18" s="74" t="str">
        <f aca="false">IF(OR(P18="",$L18="",$M18=""),"",IF($E18="+",IF(P18&gt;$M18,"Força",IF(P18&lt;$L18,"Fraqueza","Neutro")),IF(P18&lt;$L18,"Força",IF(P18&gt;$M18,"Fraqueza","Neutro"))))</f>
        <v>Fraqueza</v>
      </c>
      <c r="R18" s="82" t="n">
        <v>29.61</v>
      </c>
      <c r="S18" s="74" t="str">
        <f aca="false">IF(OR(R18="",$L18="",$M18=""),"",IF($E18="+",IF(R18&gt;$M18,"Força",IF(R18&lt;$L18,"Fraqueza","Neutro")),IF(R18&lt;$L18,"Força",IF(R18&gt;$M18,"Fraqueza","Neutro"))))</f>
        <v>Fraqueza</v>
      </c>
      <c r="T18" s="82" t="n">
        <v>26.83</v>
      </c>
      <c r="U18" s="74" t="str">
        <f aca="false">IF(OR(T18="",$L18="",$M18=""),"",IF($E18="+",IF(T18&gt;$M18,"Força",IF(T18&lt;$L18,"Fraqueza","Neutro")),IF(T18&lt;$L18,"Força",IF(T18&gt;$M18,"Fraqueza","Neutro"))))</f>
        <v>Fraqueza</v>
      </c>
      <c r="V18" s="82" t="n">
        <v>5.88</v>
      </c>
      <c r="W18" s="74" t="str">
        <f aca="false">IF(OR(V18="",$L18="",$M18=""),"",IF($E18="+",IF(V18&gt;$M18,"Força",IF(V18&lt;$L18,"Fraqueza","Neutro")),IF(V18&lt;$L18,"Força",IF(V18&gt;$M18,"Fraqueza","Neutro"))))</f>
        <v>Força</v>
      </c>
      <c r="X18" s="82" t="n">
        <v>16.77</v>
      </c>
      <c r="Y18" s="74" t="str">
        <f aca="false">IF(OR(X18="",$L18="",$M18=""),"",IF($E18="+",IF(X18&gt;$M18,"Força",IF(X18&lt;$L18,"Fraqueza","Neutro")),IF(X18&lt;$L18,"Força",IF(X18&gt;$M18,"Fraqueza","Neutro"))))</f>
        <v>Fraqueza</v>
      </c>
      <c r="Z18" s="82" t="n">
        <v>18.67</v>
      </c>
      <c r="AA18" s="74" t="str">
        <f aca="false">IF(OR(Z18="",$L18="",$M18=""),"",IF($E18="+",IF(Z18&gt;$M18,"Força",IF(Z18&lt;$L18,"Fraqueza","Neutro")),IF(Z18&lt;$L18,"Força",IF(Z18&gt;$M18,"Fraqueza","Neutro"))))</f>
        <v>Fraqueza</v>
      </c>
      <c r="AB18" s="82" t="n">
        <v>25.62</v>
      </c>
      <c r="AC18" s="74" t="str">
        <f aca="false">IF(OR(AB18="",$L18="",$M18=""),"",IF($E18="+",IF(AB18&gt;$M18,"Força",IF(AB18&lt;$L18,"Fraqueza","Neutro")),IF(AB18&lt;$L18,"Força",IF(AB18&gt;$M18,"Fraqueza","Neutro"))))</f>
        <v>Fraqueza</v>
      </c>
      <c r="AD18" s="82" t="n">
        <v>24.97</v>
      </c>
      <c r="AE18" s="74" t="str">
        <f aca="false">IF(OR(AD18="",$L18="",$M18=""),"",IF($E18="+",IF(AD18&gt;$M18,"Força",IF(AD18&lt;$L18,"Fraqueza","Neutro")),IF(AD18&lt;$L18,"Força",IF(AD18&gt;$M18,"Fraqueza","Neutro"))))</f>
        <v>Fraqueza</v>
      </c>
      <c r="AF18" s="82" t="n">
        <v>33.23</v>
      </c>
      <c r="AG18" s="74" t="str">
        <f aca="false">IF(OR(AF18="",$L18="",$M18=""),"",IF($E18="+",IF(AF18&gt;$M18,"Força",IF(AF18&lt;$L18,"Fraqueza","Neutro")),IF(AF18&lt;$L18,"Força",IF(AF18&gt;$M18,"Fraqueza","Neutro"))))</f>
        <v>Fraqueza</v>
      </c>
      <c r="AH18" s="82" t="n">
        <v>28.79</v>
      </c>
      <c r="AI18" s="74" t="str">
        <f aca="false">IF(OR(AH18="",$L18="",$M18=""),"",IF($E18="+",IF(AH18&gt;$M18,"Força",IF(AH18&lt;$L18,"Fraqueza","Neutro")),IF(AH18&lt;$L18,"Força",IF(AH18&gt;$M18,"Fraqueza","Neutro"))))</f>
        <v>Fraqueza</v>
      </c>
      <c r="AJ18" s="82" t="n">
        <v>11.66</v>
      </c>
      <c r="AK18" s="74" t="str">
        <f aca="false">IF(OR(AJ18="",$L18="",$M18=""),"",IF($E18="+",IF(AJ18&gt;$M18,"Força",IF(AJ18&lt;$L18,"Fraqueza","Neutro")),IF(AJ18&lt;$L18,"Força",IF(AJ18&gt;$M18,"Fraqueza","Neutro"))))</f>
        <v>Neutro</v>
      </c>
      <c r="AL18" s="82" t="n">
        <v>15.78</v>
      </c>
      <c r="AM18" s="74" t="str">
        <f aca="false">IF(OR(AL18="",$L18="",$M18=""),"",IF($E18="+",IF(AL18&gt;$M18,"Força",IF(AL18&lt;$L18,"Fraqueza","Neutro")),IF(AL18&lt;$L18,"Força",IF(AL18&gt;$M18,"Fraqueza","Neutro"))))</f>
        <v>Fraqueza</v>
      </c>
    </row>
    <row r="19" customFormat="false" ht="34.5" hidden="false" customHeight="true" outlineLevel="0" collapsed="false">
      <c r="A19" s="79" t="s">
        <v>199</v>
      </c>
      <c r="B19" s="80" t="s">
        <v>267</v>
      </c>
      <c r="C19" s="80" t="s">
        <v>271</v>
      </c>
      <c r="D19" s="79" t="s">
        <v>272</v>
      </c>
      <c r="E19" s="70" t="s">
        <v>238</v>
      </c>
      <c r="F19" s="80" t="s">
        <v>273</v>
      </c>
      <c r="G19" s="70" t="n">
        <v>2024</v>
      </c>
      <c r="H19" s="70" t="s">
        <v>244</v>
      </c>
      <c r="I19" s="71" t="n">
        <v>31.51</v>
      </c>
      <c r="J19" s="71"/>
      <c r="K19" s="71"/>
      <c r="L19" s="72" t="n">
        <f aca="false">IF($H19="Absoluto",IF($J19="","",$J19),IF($I19="","",IF($H19="Razão MT",MIN($I19*(1-Parâmetros!$B$3),$I19*(1+Parâmetros!$B$3)),$I19-Parâmetros!$B$4)))</f>
        <v>28.359</v>
      </c>
      <c r="M19" s="72" t="n">
        <f aca="false">IF($H19="Absoluto",IF($K19="","",$K19),IF($I19="","",IF($H19="Razão MT",MAX($I19*(1-Parâmetros!$B$3),$I19*(1+Parâmetros!$B$3)),$I19+Parâmetros!$B$4)))</f>
        <v>34.661</v>
      </c>
      <c r="N19" s="71" t="n">
        <v>8.4</v>
      </c>
      <c r="O19" s="74" t="str">
        <f aca="false">IF(OR(N19="",$L19="",$M19=""),"",IF($E19="+",IF(N19&gt;$M19,"Força",IF(N19&lt;$L19,"Fraqueza","Neutro")),IF(N19&lt;$L19,"Força",IF(N19&gt;$M19,"Fraqueza","Neutro"))))</f>
        <v>Fraqueza</v>
      </c>
      <c r="P19" s="71" t="n">
        <v>18.4</v>
      </c>
      <c r="Q19" s="74" t="str">
        <f aca="false">IF(OR(P19="",$L19="",$M19=""),"",IF($E19="+",IF(P19&gt;$M19,"Força",IF(P19&lt;$L19,"Fraqueza","Neutro")),IF(P19&lt;$L19,"Força",IF(P19&gt;$M19,"Fraqueza","Neutro"))))</f>
        <v>Fraqueza</v>
      </c>
      <c r="R19" s="71" t="n">
        <v>11.88</v>
      </c>
      <c r="S19" s="74" t="str">
        <f aca="false">IF(OR(R19="",$L19="",$M19=""),"",IF($E19="+",IF(R19&gt;$M19,"Força",IF(R19&lt;$L19,"Fraqueza","Neutro")),IF(R19&lt;$L19,"Força",IF(R19&gt;$M19,"Fraqueza","Neutro"))))</f>
        <v>Fraqueza</v>
      </c>
      <c r="T19" s="71" t="n">
        <v>14.32</v>
      </c>
      <c r="U19" s="74" t="str">
        <f aca="false">IF(OR(T19="",$L19="",$M19=""),"",IF($E19="+",IF(T19&gt;$M19,"Força",IF(T19&lt;$L19,"Fraqueza","Neutro")),IF(T19&lt;$L19,"Força",IF(T19&gt;$M19,"Fraqueza","Neutro"))))</f>
        <v>Fraqueza</v>
      </c>
      <c r="V19" s="71" t="n">
        <v>37.5</v>
      </c>
      <c r="W19" s="74" t="str">
        <f aca="false">IF(OR(V19="",$L19="",$M19=""),"",IF($E19="+",IF(V19&gt;$M19,"Força",IF(V19&lt;$L19,"Fraqueza","Neutro")),IF(V19&lt;$L19,"Força",IF(V19&gt;$M19,"Fraqueza","Neutro"))))</f>
        <v>Força</v>
      </c>
      <c r="X19" s="71" t="n">
        <v>17.31</v>
      </c>
      <c r="Y19" s="74" t="str">
        <f aca="false">IF(OR(X19="",$L19="",$M19=""),"",IF($E19="+",IF(X19&gt;$M19,"Força",IF(X19&lt;$L19,"Fraqueza","Neutro")),IF(X19&lt;$L19,"Força",IF(X19&gt;$M19,"Fraqueza","Neutro"))))</f>
        <v>Fraqueza</v>
      </c>
      <c r="Z19" s="71" t="n">
        <v>30.4</v>
      </c>
      <c r="AA19" s="74" t="str">
        <f aca="false">IF(OR(Z19="",$L19="",$M19=""),"",IF($E19="+",IF(Z19&gt;$M19,"Força",IF(Z19&lt;$L19,"Fraqueza","Neutro")),IF(Z19&lt;$L19,"Força",IF(Z19&gt;$M19,"Fraqueza","Neutro"))))</f>
        <v>Neutro</v>
      </c>
      <c r="AB19" s="71" t="n">
        <v>22.66</v>
      </c>
      <c r="AC19" s="74" t="str">
        <f aca="false">IF(OR(AB19="",$L19="",$M19=""),"",IF($E19="+",IF(AB19&gt;$M19,"Força",IF(AB19&lt;$L19,"Fraqueza","Neutro")),IF(AB19&lt;$L19,"Força",IF(AB19&gt;$M19,"Fraqueza","Neutro"))))</f>
        <v>Fraqueza</v>
      </c>
      <c r="AD19" s="71" t="n">
        <v>24.35</v>
      </c>
      <c r="AE19" s="74" t="str">
        <f aca="false">IF(OR(AD19="",$L19="",$M19=""),"",IF($E19="+",IF(AD19&gt;$M19,"Força",IF(AD19&lt;$L19,"Fraqueza","Neutro")),IF(AD19&lt;$L19,"Força",IF(AD19&gt;$M19,"Fraqueza","Neutro"))))</f>
        <v>Fraqueza</v>
      </c>
      <c r="AF19" s="71" t="n">
        <v>15.75</v>
      </c>
      <c r="AG19" s="74" t="str">
        <f aca="false">IF(OR(AF19="",$L19="",$M19=""),"",IF($E19="+",IF(AF19&gt;$M19,"Força",IF(AF19&lt;$L19,"Fraqueza","Neutro")),IF(AF19&lt;$L19,"Força",IF(AF19&gt;$M19,"Fraqueza","Neutro"))))</f>
        <v>Fraqueza</v>
      </c>
      <c r="AH19" s="71" t="n">
        <v>16.43</v>
      </c>
      <c r="AI19" s="74" t="str">
        <f aca="false">IF(OR(AH19="",$L19="",$M19=""),"",IF($E19="+",IF(AH19&gt;$M19,"Força",IF(AH19&lt;$L19,"Fraqueza","Neutro")),IF(AH19&lt;$L19,"Força",IF(AH19&gt;$M19,"Fraqueza","Neutro"))))</f>
        <v>Fraqueza</v>
      </c>
      <c r="AJ19" s="71" t="n">
        <v>32.01</v>
      </c>
      <c r="AK19" s="74" t="str">
        <f aca="false">IF(OR(AJ19="",$L19="",$M19=""),"",IF($E19="+",IF(AJ19&gt;$M19,"Força",IF(AJ19&lt;$L19,"Fraqueza","Neutro")),IF(AJ19&lt;$L19,"Força",IF(AJ19&gt;$M19,"Fraqueza","Neutro"))))</f>
        <v>Neutro</v>
      </c>
      <c r="AL19" s="71" t="n">
        <v>19.67</v>
      </c>
      <c r="AM19" s="74" t="str">
        <f aca="false">IF(OR(AL19="",$L19="",$M19=""),"",IF($E19="+",IF(AL19&gt;$M19,"Força",IF(AL19&lt;$L19,"Fraqueza","Neutro")),IF(AL19&lt;$L19,"Força",IF(AL19&gt;$M19,"Fraqueza","Neutro"))))</f>
        <v>Fraqueza</v>
      </c>
    </row>
    <row r="20" customFormat="false" ht="34.5" hidden="false" customHeight="true" outlineLevel="0" collapsed="false">
      <c r="A20" s="79" t="s">
        <v>202</v>
      </c>
      <c r="B20" s="80" t="s">
        <v>267</v>
      </c>
      <c r="C20" s="80" t="s">
        <v>274</v>
      </c>
      <c r="D20" s="79" t="s">
        <v>252</v>
      </c>
      <c r="E20" s="70" t="s">
        <v>270</v>
      </c>
      <c r="F20" s="80" t="s">
        <v>257</v>
      </c>
      <c r="G20" s="70" t="n">
        <v>2024</v>
      </c>
      <c r="H20" s="70" t="s">
        <v>244</v>
      </c>
      <c r="I20" s="83" t="n">
        <v>0.1254</v>
      </c>
      <c r="J20" s="71"/>
      <c r="K20" s="71"/>
      <c r="L20" s="72" t="n">
        <f aca="false">IF($H20="Absoluto",IF($J20="","",$J20),IF($I20="","",IF($H20="Razão MT",MIN($I20*(1-Parâmetros!$B$3),$I20*(1+Parâmetros!$B$3)),$I20-Parâmetros!$B$4)))</f>
        <v>0.11286</v>
      </c>
      <c r="M20" s="72" t="n">
        <f aca="false">IF($H20="Absoluto",IF($K20="","",$K20),IF($I20="","",IF($H20="Razão MT",MAX($I20*(1-Parâmetros!$B$3),$I20*(1+Parâmetros!$B$3)),$I20+Parâmetros!$B$4)))</f>
        <v>0.13794</v>
      </c>
      <c r="N20" s="83" t="n">
        <v>0.2519</v>
      </c>
      <c r="O20" s="74" t="str">
        <f aca="false">IF(OR(N20="",$L20="",$M20=""),"",IF($E20="+",IF(N20&gt;$M20,"Força",IF(N20&lt;$L20,"Fraqueza","Neutro")),IF(N20&lt;$L20,"Força",IF(N20&gt;$M20,"Fraqueza","Neutro"))))</f>
        <v>Fraqueza</v>
      </c>
      <c r="P20" s="83" t="n">
        <v>0.1286</v>
      </c>
      <c r="Q20" s="74" t="str">
        <f aca="false">IF(OR(P20="",$L20="",$M20=""),"",IF($E20="+",IF(P20&gt;$M20,"Força",IF(P20&lt;$L20,"Fraqueza","Neutro")),IF(P20&lt;$L20,"Força",IF(P20&gt;$M20,"Fraqueza","Neutro"))))</f>
        <v>Neutro</v>
      </c>
      <c r="R20" s="83" t="n">
        <v>0.1849</v>
      </c>
      <c r="S20" s="74" t="str">
        <f aca="false">IF(OR(R20="",$L20="",$M20=""),"",IF($E20="+",IF(R20&gt;$M20,"Força",IF(R20&lt;$L20,"Fraqueza","Neutro")),IF(R20&lt;$L20,"Força",IF(R20&gt;$M20,"Fraqueza","Neutro"))))</f>
        <v>Fraqueza</v>
      </c>
      <c r="T20" s="83" t="n">
        <v>0.3147</v>
      </c>
      <c r="U20" s="74" t="str">
        <f aca="false">IF(OR(T20="",$L20="",$M20=""),"",IF($E20="+",IF(T20&gt;$M20,"Força",IF(T20&lt;$L20,"Fraqueza","Neutro")),IF(T20&lt;$L20,"Força",IF(T20&gt;$M20,"Fraqueza","Neutro"))))</f>
        <v>Fraqueza</v>
      </c>
      <c r="V20" s="83" t="n">
        <v>0.363</v>
      </c>
      <c r="W20" s="74" t="str">
        <f aca="false">IF(OR(V20="",$L20="",$M20=""),"",IF($E20="+",IF(V20&gt;$M20,"Força",IF(V20&lt;$L20,"Fraqueza","Neutro")),IF(V20&lt;$L20,"Força",IF(V20&gt;$M20,"Fraqueza","Neutro"))))</f>
        <v>Fraqueza</v>
      </c>
      <c r="X20" s="83" t="n">
        <v>0.2275</v>
      </c>
      <c r="Y20" s="74" t="str">
        <f aca="false">IF(OR(X20="",$L20="",$M20=""),"",IF($E20="+",IF(X20&gt;$M20,"Força",IF(X20&lt;$L20,"Fraqueza","Neutro")),IF(X20&lt;$L20,"Força",IF(X20&gt;$M20,"Fraqueza","Neutro"))))</f>
        <v>Fraqueza</v>
      </c>
      <c r="Z20" s="83" t="n">
        <v>0.3954</v>
      </c>
      <c r="AA20" s="74" t="str">
        <f aca="false">IF(OR(Z20="",$L20="",$M20=""),"",IF($E20="+",IF(Z20&gt;$M20,"Força",IF(Z20&lt;$L20,"Fraqueza","Neutro")),IF(Z20&lt;$L20,"Força",IF(Z20&gt;$M20,"Fraqueza","Neutro"))))</f>
        <v>Fraqueza</v>
      </c>
      <c r="AB20" s="83" t="n">
        <v>0.1288</v>
      </c>
      <c r="AC20" s="74" t="str">
        <f aca="false">IF(OR(AB20="",$L20="",$M20=""),"",IF($E20="+",IF(AB20&gt;$M20,"Força",IF(AB20&lt;$L20,"Fraqueza","Neutro")),IF(AB20&lt;$L20,"Força",IF(AB20&gt;$M20,"Fraqueza","Neutro"))))</f>
        <v>Neutro</v>
      </c>
      <c r="AD20" s="83" t="n">
        <v>0.2738</v>
      </c>
      <c r="AE20" s="74" t="str">
        <f aca="false">IF(OR(AD20="",$L20="",$M20=""),"",IF($E20="+",IF(AD20&gt;$M20,"Força",IF(AD20&lt;$L20,"Fraqueza","Neutro")),IF(AD20&lt;$L20,"Força",IF(AD20&gt;$M20,"Fraqueza","Neutro"))))</f>
        <v>Fraqueza</v>
      </c>
      <c r="AF20" s="83" t="n">
        <v>0.1845</v>
      </c>
      <c r="AG20" s="74" t="str">
        <f aca="false">IF(OR(AF20="",$L20="",$M20=""),"",IF($E20="+",IF(AF20&gt;$M20,"Força",IF(AF20&lt;$L20,"Fraqueza","Neutro")),IF(AF20&lt;$L20,"Força",IF(AF20&gt;$M20,"Fraqueza","Neutro"))))</f>
        <v>Fraqueza</v>
      </c>
      <c r="AH20" s="83" t="n">
        <v>0.3713</v>
      </c>
      <c r="AI20" s="74" t="str">
        <f aca="false">IF(OR(AH20="",$L20="",$M20=""),"",IF($E20="+",IF(AH20&gt;$M20,"Força",IF(AH20&lt;$L20,"Fraqueza","Neutro")),IF(AH20&lt;$L20,"Força",IF(AH20&gt;$M20,"Fraqueza","Neutro"))))</f>
        <v>Fraqueza</v>
      </c>
      <c r="AJ20" s="83" t="n">
        <v>0.1166</v>
      </c>
      <c r="AK20" s="74" t="str">
        <f aca="false">IF(OR(AJ20="",$L20="",$M20=""),"",IF($E20="+",IF(AJ20&gt;$M20,"Força",IF(AJ20&lt;$L20,"Fraqueza","Neutro")),IF(AJ20&lt;$L20,"Força",IF(AJ20&gt;$M20,"Fraqueza","Neutro"))))</f>
        <v>Neutro</v>
      </c>
      <c r="AL20" s="83" t="n">
        <v>0.2362</v>
      </c>
      <c r="AM20" s="74" t="str">
        <f aca="false">IF(OR(AL20="",$L20="",$M20=""),"",IF($E20="+",IF(AL20&gt;$M20,"Força",IF(AL20&lt;$L20,"Fraqueza","Neutro")),IF(AL20&lt;$L20,"Força",IF(AL20&gt;$M20,"Fraqueza","Neutro"))))</f>
        <v>Fraqueza</v>
      </c>
    </row>
    <row r="21" customFormat="false" ht="34.5" hidden="false" customHeight="true" outlineLevel="0" collapsed="false">
      <c r="A21" s="79" t="s">
        <v>160</v>
      </c>
      <c r="B21" s="80" t="s">
        <v>267</v>
      </c>
      <c r="C21" s="80" t="s">
        <v>275</v>
      </c>
      <c r="D21" s="79" t="s">
        <v>246</v>
      </c>
      <c r="E21" s="70" t="s">
        <v>238</v>
      </c>
      <c r="F21" s="80" t="s">
        <v>276</v>
      </c>
      <c r="G21" s="70" t="n">
        <v>2022</v>
      </c>
      <c r="H21" s="70" t="s">
        <v>248</v>
      </c>
      <c r="I21" s="71" t="n">
        <v>18.24</v>
      </c>
      <c r="J21" s="71"/>
      <c r="K21" s="71"/>
      <c r="L21" s="72" t="n">
        <f aca="false">IF($H21="Absoluto",IF($J21="","",$J21),IF($I21="","",IF($H21="Razão MT",MIN($I21*(1-Parâmetros!$B$3),$I21*(1+Parâmetros!$B$3)),$I21-Parâmetros!$B$4)))</f>
        <v>16.24</v>
      </c>
      <c r="M21" s="72" t="n">
        <f aca="false">IF($H21="Absoluto",IF($K21="","",$K21),IF($I21="","",IF($H21="Razão MT",MAX($I21*(1-Parâmetros!$B$3),$I21*(1+Parâmetros!$B$3)),$I21+Parâmetros!$B$4)))</f>
        <v>20.24</v>
      </c>
      <c r="N21" s="71" t="n">
        <v>6.34</v>
      </c>
      <c r="O21" s="74" t="str">
        <f aca="false">IF(OR(N21="",$L21="",$M21=""),"",IF($E21="+",IF(N21&gt;$M21,"Força",IF(N21&lt;$L21,"Fraqueza","Neutro")),IF(N21&lt;$L21,"Força",IF(N21&gt;$M21,"Fraqueza","Neutro"))))</f>
        <v>Fraqueza</v>
      </c>
      <c r="P21" s="71" t="n">
        <v>17.68</v>
      </c>
      <c r="Q21" s="74" t="str">
        <f aca="false">IF(OR(P21="",$L21="",$M21=""),"",IF($E21="+",IF(P21&gt;$M21,"Força",IF(P21&lt;$L21,"Fraqueza","Neutro")),IF(P21&lt;$L21,"Força",IF(P21&gt;$M21,"Fraqueza","Neutro"))))</f>
        <v>Neutro</v>
      </c>
      <c r="R21" s="71" t="n">
        <v>5.5</v>
      </c>
      <c r="S21" s="74" t="str">
        <f aca="false">IF(OR(R21="",$L21="",$M21=""),"",IF($E21="+",IF(R21&gt;$M21,"Força",IF(R21&lt;$L21,"Fraqueza","Neutro")),IF(R21&lt;$L21,"Força",IF(R21&gt;$M21,"Fraqueza","Neutro"))))</f>
        <v>Fraqueza</v>
      </c>
      <c r="T21" s="71" t="n">
        <v>5.76</v>
      </c>
      <c r="U21" s="74" t="str">
        <f aca="false">IF(OR(T21="",$L21="",$M21=""),"",IF($E21="+",IF(T21&gt;$M21,"Força",IF(T21&lt;$L21,"Fraqueza","Neutro")),IF(T21&lt;$L21,"Força",IF(T21&gt;$M21,"Fraqueza","Neutro"))))</f>
        <v>Fraqueza</v>
      </c>
      <c r="V21" s="71" t="n">
        <v>11.87</v>
      </c>
      <c r="W21" s="74" t="str">
        <f aca="false">IF(OR(V21="",$L21="",$M21=""),"",IF($E21="+",IF(V21&gt;$M21,"Força",IF(V21&lt;$L21,"Fraqueza","Neutro")),IF(V21&lt;$L21,"Força",IF(V21&gt;$M21,"Fraqueza","Neutro"))))</f>
        <v>Fraqueza</v>
      </c>
      <c r="X21" s="71" t="n">
        <v>11.71</v>
      </c>
      <c r="Y21" s="74" t="str">
        <f aca="false">IF(OR(X21="",$L21="",$M21=""),"",IF($E21="+",IF(X21&gt;$M21,"Força",IF(X21&lt;$L21,"Fraqueza","Neutro")),IF(X21&lt;$L21,"Força",IF(X21&gt;$M21,"Fraqueza","Neutro"))))</f>
        <v>Fraqueza</v>
      </c>
      <c r="Z21" s="71" t="n">
        <v>7.14</v>
      </c>
      <c r="AA21" s="74" t="str">
        <f aca="false">IF(OR(Z21="",$L21="",$M21=""),"",IF($E21="+",IF(Z21&gt;$M21,"Força",IF(Z21&lt;$L21,"Fraqueza","Neutro")),IF(Z21&lt;$L21,"Força",IF(Z21&gt;$M21,"Fraqueza","Neutro"))))</f>
        <v>Fraqueza</v>
      </c>
      <c r="AB21" s="71" t="n">
        <v>14.35</v>
      </c>
      <c r="AC21" s="74" t="str">
        <f aca="false">IF(OR(AB21="",$L21="",$M21=""),"",IF($E21="+",IF(AB21&gt;$M21,"Força",IF(AB21&lt;$L21,"Fraqueza","Neutro")),IF(AB21&lt;$L21,"Força",IF(AB21&gt;$M21,"Fraqueza","Neutro"))))</f>
        <v>Fraqueza</v>
      </c>
      <c r="AD21" s="71" t="n">
        <v>5.15</v>
      </c>
      <c r="AE21" s="74" t="str">
        <f aca="false">IF(OR(AD21="",$L21="",$M21=""),"",IF($E21="+",IF(AD21&gt;$M21,"Força",IF(AD21&lt;$L21,"Fraqueza","Neutro")),IF(AD21&lt;$L21,"Força",IF(AD21&gt;$M21,"Fraqueza","Neutro"))))</f>
        <v>Fraqueza</v>
      </c>
      <c r="AF21" s="71" t="n">
        <v>9.51</v>
      </c>
      <c r="AG21" s="74" t="str">
        <f aca="false">IF(OR(AF21="",$L21="",$M21=""),"",IF($E21="+",IF(AF21&gt;$M21,"Força",IF(AF21&lt;$L21,"Fraqueza","Neutro")),IF(AF21&lt;$L21,"Força",IF(AF21&gt;$M21,"Fraqueza","Neutro"))))</f>
        <v>Fraqueza</v>
      </c>
      <c r="AH21" s="71" t="n">
        <v>6.54</v>
      </c>
      <c r="AI21" s="74" t="str">
        <f aca="false">IF(OR(AH21="",$L21="",$M21=""),"",IF($E21="+",IF(AH21&gt;$M21,"Força",IF(AH21&lt;$L21,"Fraqueza","Neutro")),IF(AH21&lt;$L21,"Força",IF(AH21&gt;$M21,"Fraqueza","Neutro"))))</f>
        <v>Fraqueza</v>
      </c>
      <c r="AJ21" s="71" t="n">
        <v>21.61</v>
      </c>
      <c r="AK21" s="74" t="str">
        <f aca="false">IF(OR(AJ21="",$L21="",$M21=""),"",IF($E21="+",IF(AJ21&gt;$M21,"Força",IF(AJ21&lt;$L21,"Fraqueza","Neutro")),IF(AJ21&lt;$L21,"Força",IF(AJ21&gt;$M21,"Fraqueza","Neutro"))))</f>
        <v>Força</v>
      </c>
      <c r="AL21" s="71" t="n">
        <v>9.96</v>
      </c>
      <c r="AM21" s="74" t="str">
        <f aca="false">IF(OR(AL21="",$L21="",$M21=""),"",IF($E21="+",IF(AL21&gt;$M21,"Força",IF(AL21&lt;$L21,"Fraqueza","Neutro")),IF(AL21&lt;$L21,"Força",IF(AL21&gt;$M21,"Fraqueza","Neutro"))))</f>
        <v>Fraqueza</v>
      </c>
    </row>
    <row r="23" customFormat="false" ht="15" hidden="false" customHeight="true" outlineLevel="0" collapsed="false">
      <c r="A23" s="33" t="s">
        <v>277</v>
      </c>
    </row>
  </sheetData>
  <mergeCells count="26"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</mergeCells>
  <conditionalFormatting sqref="N6:AM21">
    <cfRule type="cellIs" priority="2" operator="equal" aboveAverage="0" equalAverage="0" bottom="0" percent="0" rank="0" text="" dxfId="2">
      <formula>"Força"</formula>
    </cfRule>
    <cfRule type="cellIs" priority="3" operator="equal" aboveAverage="0" equalAverage="0" bottom="0" percent="0" rank="0" text="" dxfId="3">
      <formula>"Fraqueza"</formula>
    </cfRule>
    <cfRule type="cellIs" priority="4" operator="equal" aboveAverage="0" equalAverage="0" bottom="0" percent="0" rank="0" text="" dxfId="6">
      <formula>"Neutro"</formula>
    </cfRule>
  </conditionalFormatting>
  <dataValidations count="2">
    <dataValidation allowBlank="true" errorStyle="stop" operator="between" showDropDown="false" showErrorMessage="false" showInputMessage="false" sqref="E6:E21" type="list">
      <formula1>"+,-"</formula1>
      <formula2>0</formula2>
    </dataValidation>
    <dataValidation allowBlank="false" errorStyle="stop" operator="between" showDropDown="false" showErrorMessage="false" showInputMessage="false" sqref="H6:H21" type="list">
      <formula1>"Absoluto,Razão MT,Dif. MT (p.p.)"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3"/>
    <col collapsed="false" customWidth="true" hidden="false" outlineLevel="0" max="3" min="3" style="1" width="18"/>
    <col collapsed="false" customWidth="true" hidden="false" outlineLevel="0" max="4" min="4" style="1" width="48"/>
    <col collapsed="false" customWidth="true" hidden="false" outlineLevel="0" max="5" min="5" style="1" width="60"/>
    <col collapsed="false" customWidth="true" hidden="false" outlineLevel="0" max="18" min="6" style="1" width="12"/>
  </cols>
  <sheetData>
    <row r="1" customFormat="false" ht="15.75" hidden="false" customHeight="true" outlineLevel="0" collapsed="false">
      <c r="A1" s="2" t="s">
        <v>278</v>
      </c>
    </row>
    <row r="2" customFormat="false" ht="15" hidden="false" customHeight="true" outlineLevel="0" collapsed="false">
      <c r="A2" s="3" t="s">
        <v>279</v>
      </c>
    </row>
    <row r="4" customFormat="false" ht="42" hidden="false" customHeight="true" outlineLevel="0" collapsed="false">
      <c r="A4" s="84" t="s">
        <v>59</v>
      </c>
      <c r="B4" s="84" t="s">
        <v>67</v>
      </c>
      <c r="C4" s="84" t="s">
        <v>223</v>
      </c>
      <c r="D4" s="84" t="s">
        <v>66</v>
      </c>
      <c r="E4" s="84" t="s">
        <v>280</v>
      </c>
      <c r="F4" s="84" t="s">
        <v>46</v>
      </c>
      <c r="G4" s="84" t="s">
        <v>26</v>
      </c>
      <c r="H4" s="84" t="s">
        <v>47</v>
      </c>
      <c r="I4" s="84" t="s">
        <v>48</v>
      </c>
      <c r="J4" s="84" t="s">
        <v>49</v>
      </c>
      <c r="K4" s="84" t="s">
        <v>50</v>
      </c>
      <c r="L4" s="84" t="s">
        <v>51</v>
      </c>
      <c r="M4" s="84" t="s">
        <v>52</v>
      </c>
      <c r="N4" s="84" t="s">
        <v>53</v>
      </c>
      <c r="O4" s="84" t="s">
        <v>54</v>
      </c>
      <c r="P4" s="84" t="s">
        <v>55</v>
      </c>
      <c r="Q4" s="84" t="s">
        <v>56</v>
      </c>
      <c r="R4" s="84" t="s">
        <v>57</v>
      </c>
    </row>
    <row r="5" customFormat="false" ht="15" hidden="false" customHeight="true" outlineLevel="0" collapsed="false">
      <c r="A5" s="33" t="s">
        <v>281</v>
      </c>
    </row>
    <row r="6" customFormat="false" ht="96" hidden="false" customHeight="true" outlineLevel="0" collapsed="false">
      <c r="A6" s="27" t="s">
        <v>282</v>
      </c>
      <c r="B6" s="27" t="s">
        <v>283</v>
      </c>
      <c r="C6" s="28" t="s">
        <v>74</v>
      </c>
      <c r="D6" s="28" t="s">
        <v>284</v>
      </c>
      <c r="E6" s="28" t="s">
        <v>285</v>
      </c>
      <c r="F6" s="70" t="n">
        <v>1</v>
      </c>
      <c r="G6" s="70" t="n">
        <v>3</v>
      </c>
      <c r="H6" s="70" t="n">
        <v>2</v>
      </c>
      <c r="I6" s="70" t="n">
        <v>2</v>
      </c>
      <c r="J6" s="70" t="n">
        <v>2</v>
      </c>
      <c r="K6" s="70" t="n">
        <v>2</v>
      </c>
      <c r="L6" s="70" t="n">
        <v>2</v>
      </c>
      <c r="M6" s="70" t="n">
        <v>2</v>
      </c>
      <c r="N6" s="70" t="n">
        <v>2</v>
      </c>
      <c r="O6" s="70" t="n">
        <v>2</v>
      </c>
      <c r="P6" s="70" t="n">
        <v>3</v>
      </c>
      <c r="Q6" s="70" t="n">
        <v>2</v>
      </c>
      <c r="R6" s="70" t="n">
        <v>3</v>
      </c>
    </row>
    <row r="7" customFormat="false" ht="96" hidden="false" customHeight="true" outlineLevel="0" collapsed="false">
      <c r="A7" s="27" t="s">
        <v>286</v>
      </c>
      <c r="B7" s="27" t="s">
        <v>283</v>
      </c>
      <c r="C7" s="28" t="s">
        <v>74</v>
      </c>
      <c r="D7" s="28" t="s">
        <v>287</v>
      </c>
      <c r="E7" s="28" t="s">
        <v>288</v>
      </c>
      <c r="F7" s="70" t="n">
        <v>3</v>
      </c>
      <c r="G7" s="70" t="n">
        <v>3</v>
      </c>
      <c r="H7" s="70" t="n">
        <v>1</v>
      </c>
      <c r="I7" s="70" t="n">
        <v>1</v>
      </c>
      <c r="J7" s="70" t="n">
        <v>2</v>
      </c>
      <c r="K7" s="70" t="n">
        <v>1</v>
      </c>
      <c r="L7" s="70" t="n">
        <v>1</v>
      </c>
      <c r="M7" s="70" t="n">
        <v>1</v>
      </c>
      <c r="N7" s="70" t="n">
        <v>2</v>
      </c>
      <c r="O7" s="70" t="n">
        <v>3</v>
      </c>
      <c r="P7" s="70" t="n">
        <v>1</v>
      </c>
      <c r="Q7" s="70" t="n">
        <v>1</v>
      </c>
      <c r="R7" s="70" t="n">
        <v>3</v>
      </c>
    </row>
    <row r="8" customFormat="false" ht="96" hidden="false" customHeight="true" outlineLevel="0" collapsed="false">
      <c r="A8" s="27" t="s">
        <v>289</v>
      </c>
      <c r="B8" s="27" t="s">
        <v>283</v>
      </c>
      <c r="C8" s="28" t="s">
        <v>261</v>
      </c>
      <c r="D8" s="28" t="s">
        <v>290</v>
      </c>
      <c r="E8" s="28" t="s">
        <v>291</v>
      </c>
      <c r="F8" s="70" t="n">
        <v>3</v>
      </c>
      <c r="G8" s="70" t="n">
        <v>3</v>
      </c>
      <c r="H8" s="70" t="n">
        <v>0</v>
      </c>
      <c r="I8" s="70" t="n">
        <v>1</v>
      </c>
      <c r="J8" s="70" t="n">
        <v>1</v>
      </c>
      <c r="K8" s="70" t="n">
        <v>2</v>
      </c>
      <c r="L8" s="70" t="n">
        <v>1</v>
      </c>
      <c r="M8" s="70" t="n">
        <v>1</v>
      </c>
      <c r="N8" s="70" t="n">
        <v>1</v>
      </c>
      <c r="O8" s="70" t="n">
        <v>3</v>
      </c>
      <c r="P8" s="70" t="n">
        <v>1</v>
      </c>
      <c r="Q8" s="70" t="n">
        <v>2</v>
      </c>
      <c r="R8" s="70" t="n">
        <v>2</v>
      </c>
    </row>
    <row r="9" customFormat="false" ht="96" hidden="false" customHeight="true" outlineLevel="0" collapsed="false">
      <c r="A9" s="27" t="s">
        <v>292</v>
      </c>
      <c r="B9" s="27" t="s">
        <v>283</v>
      </c>
      <c r="C9" s="28" t="s">
        <v>76</v>
      </c>
      <c r="D9" s="28" t="s">
        <v>293</v>
      </c>
      <c r="E9" s="28" t="s">
        <v>294</v>
      </c>
      <c r="F9" s="70" t="n">
        <v>0</v>
      </c>
      <c r="G9" s="70" t="n">
        <v>2</v>
      </c>
      <c r="H9" s="70" t="n">
        <v>1</v>
      </c>
      <c r="I9" s="70" t="n">
        <v>1</v>
      </c>
      <c r="J9" s="70" t="n">
        <v>2</v>
      </c>
      <c r="K9" s="70" t="n">
        <v>2</v>
      </c>
      <c r="L9" s="70" t="n">
        <v>3</v>
      </c>
      <c r="M9" s="70" t="n">
        <v>3</v>
      </c>
      <c r="N9" s="70" t="n">
        <v>1</v>
      </c>
      <c r="O9" s="70" t="n">
        <v>1</v>
      </c>
      <c r="P9" s="70" t="n">
        <v>1</v>
      </c>
      <c r="Q9" s="70" t="n">
        <v>3</v>
      </c>
      <c r="R9" s="70" t="n">
        <v>1</v>
      </c>
    </row>
    <row r="10" customFormat="false" ht="96" hidden="false" customHeight="true" outlineLevel="0" collapsed="false">
      <c r="A10" s="27" t="s">
        <v>295</v>
      </c>
      <c r="B10" s="27" t="s">
        <v>283</v>
      </c>
      <c r="C10" s="28" t="s">
        <v>267</v>
      </c>
      <c r="D10" s="28" t="s">
        <v>296</v>
      </c>
      <c r="E10" s="28" t="s">
        <v>297</v>
      </c>
      <c r="F10" s="70" t="n">
        <v>1</v>
      </c>
      <c r="G10" s="70" t="n">
        <v>3</v>
      </c>
      <c r="H10" s="70" t="n">
        <v>1</v>
      </c>
      <c r="I10" s="70" t="n">
        <v>1</v>
      </c>
      <c r="J10" s="70" t="n">
        <v>2</v>
      </c>
      <c r="K10" s="70" t="n">
        <v>2</v>
      </c>
      <c r="L10" s="70" t="n">
        <v>1</v>
      </c>
      <c r="M10" s="70" t="n">
        <v>2</v>
      </c>
      <c r="N10" s="70" t="n">
        <v>2</v>
      </c>
      <c r="O10" s="70" t="n">
        <v>1</v>
      </c>
      <c r="P10" s="70" t="n">
        <v>2</v>
      </c>
      <c r="Q10" s="70" t="n">
        <v>3</v>
      </c>
      <c r="R10" s="70" t="n">
        <v>2</v>
      </c>
    </row>
    <row r="11" customFormat="false" ht="96" hidden="false" customHeight="true" outlineLevel="0" collapsed="false">
      <c r="A11" s="27" t="s">
        <v>298</v>
      </c>
      <c r="B11" s="27" t="s">
        <v>283</v>
      </c>
      <c r="C11" s="28" t="s">
        <v>267</v>
      </c>
      <c r="D11" s="28" t="s">
        <v>299</v>
      </c>
      <c r="E11" s="28" t="s">
        <v>300</v>
      </c>
      <c r="F11" s="70" t="n">
        <v>2</v>
      </c>
      <c r="G11" s="70" t="n">
        <v>3</v>
      </c>
      <c r="H11" s="70" t="n">
        <v>2</v>
      </c>
      <c r="I11" s="70" t="n">
        <v>2</v>
      </c>
      <c r="J11" s="70" t="n">
        <v>3</v>
      </c>
      <c r="K11" s="70" t="n">
        <v>2</v>
      </c>
      <c r="L11" s="70" t="n">
        <v>2</v>
      </c>
      <c r="M11" s="70" t="n">
        <v>2</v>
      </c>
      <c r="N11" s="70" t="n">
        <v>2</v>
      </c>
      <c r="O11" s="70" t="n">
        <v>2</v>
      </c>
      <c r="P11" s="70" t="n">
        <v>2</v>
      </c>
      <c r="Q11" s="70" t="n">
        <v>3</v>
      </c>
      <c r="R11" s="70" t="n">
        <v>3</v>
      </c>
    </row>
    <row r="12" customFormat="false" ht="96" hidden="false" customHeight="true" outlineLevel="0" collapsed="false">
      <c r="A12" s="85" t="s">
        <v>301</v>
      </c>
      <c r="B12" s="85" t="s">
        <v>302</v>
      </c>
      <c r="C12" s="86" t="s">
        <v>74</v>
      </c>
      <c r="D12" s="86" t="s">
        <v>303</v>
      </c>
      <c r="E12" s="86" t="s">
        <v>304</v>
      </c>
      <c r="F12" s="70" t="n">
        <v>3</v>
      </c>
      <c r="G12" s="70" t="n">
        <v>3</v>
      </c>
      <c r="H12" s="70" t="n">
        <v>1</v>
      </c>
      <c r="I12" s="70" t="n">
        <v>1</v>
      </c>
      <c r="J12" s="70" t="n">
        <v>2</v>
      </c>
      <c r="K12" s="70" t="n">
        <v>1</v>
      </c>
      <c r="L12" s="70" t="n">
        <v>1</v>
      </c>
      <c r="M12" s="70" t="n">
        <v>1</v>
      </c>
      <c r="N12" s="70" t="n">
        <v>2</v>
      </c>
      <c r="O12" s="70" t="n">
        <v>3</v>
      </c>
      <c r="P12" s="70" t="n">
        <v>2</v>
      </c>
      <c r="Q12" s="70" t="n">
        <v>1</v>
      </c>
      <c r="R12" s="70" t="n">
        <v>3</v>
      </c>
    </row>
    <row r="13" customFormat="false" ht="96" hidden="false" customHeight="true" outlineLevel="0" collapsed="false">
      <c r="A13" s="85" t="s">
        <v>305</v>
      </c>
      <c r="B13" s="85" t="s">
        <v>302</v>
      </c>
      <c r="C13" s="86" t="s">
        <v>74</v>
      </c>
      <c r="D13" s="86" t="s">
        <v>306</v>
      </c>
      <c r="E13" s="86" t="s">
        <v>307</v>
      </c>
      <c r="F13" s="70" t="n">
        <v>2</v>
      </c>
      <c r="G13" s="70" t="n">
        <v>3</v>
      </c>
      <c r="H13" s="70" t="n">
        <v>2</v>
      </c>
      <c r="I13" s="70" t="n">
        <v>2</v>
      </c>
      <c r="J13" s="70" t="n">
        <v>3</v>
      </c>
      <c r="K13" s="70" t="n">
        <v>2</v>
      </c>
      <c r="L13" s="70" t="n">
        <v>2</v>
      </c>
      <c r="M13" s="70" t="n">
        <v>1</v>
      </c>
      <c r="N13" s="70" t="n">
        <v>2</v>
      </c>
      <c r="O13" s="70" t="n">
        <v>2</v>
      </c>
      <c r="P13" s="70" t="n">
        <v>3</v>
      </c>
      <c r="Q13" s="70" t="n">
        <v>2</v>
      </c>
      <c r="R13" s="70" t="n">
        <v>3</v>
      </c>
    </row>
    <row r="14" customFormat="false" ht="96" hidden="false" customHeight="true" outlineLevel="0" collapsed="false">
      <c r="A14" s="85" t="s">
        <v>308</v>
      </c>
      <c r="B14" s="85" t="s">
        <v>302</v>
      </c>
      <c r="C14" s="86" t="s">
        <v>74</v>
      </c>
      <c r="D14" s="86" t="s">
        <v>309</v>
      </c>
      <c r="E14" s="86" t="s">
        <v>310</v>
      </c>
      <c r="F14" s="70" t="n">
        <v>2</v>
      </c>
      <c r="G14" s="70" t="n">
        <v>3</v>
      </c>
      <c r="H14" s="70" t="n">
        <v>2</v>
      </c>
      <c r="I14" s="70" t="n">
        <v>2</v>
      </c>
      <c r="J14" s="70" t="n">
        <v>3</v>
      </c>
      <c r="K14" s="70" t="n">
        <v>2</v>
      </c>
      <c r="L14" s="70" t="n">
        <v>2</v>
      </c>
      <c r="M14" s="70" t="n">
        <v>1</v>
      </c>
      <c r="N14" s="70" t="n">
        <v>1</v>
      </c>
      <c r="O14" s="70" t="n">
        <v>2</v>
      </c>
      <c r="P14" s="70" t="n">
        <v>2</v>
      </c>
      <c r="Q14" s="70" t="n">
        <v>3</v>
      </c>
      <c r="R14" s="70" t="n">
        <v>3</v>
      </c>
    </row>
    <row r="15" customFormat="false" ht="96" hidden="false" customHeight="true" outlineLevel="0" collapsed="false">
      <c r="A15" s="85" t="s">
        <v>311</v>
      </c>
      <c r="B15" s="85" t="s">
        <v>302</v>
      </c>
      <c r="C15" s="86" t="s">
        <v>267</v>
      </c>
      <c r="D15" s="86" t="s">
        <v>312</v>
      </c>
      <c r="E15" s="86" t="s">
        <v>313</v>
      </c>
      <c r="F15" s="70" t="n">
        <v>1</v>
      </c>
      <c r="G15" s="70" t="n">
        <v>2</v>
      </c>
      <c r="H15" s="70" t="n">
        <v>1</v>
      </c>
      <c r="I15" s="70" t="n">
        <v>1</v>
      </c>
      <c r="J15" s="70" t="n">
        <v>3</v>
      </c>
      <c r="K15" s="70" t="n">
        <v>2</v>
      </c>
      <c r="L15" s="70" t="n">
        <v>2</v>
      </c>
      <c r="M15" s="70" t="n">
        <v>2</v>
      </c>
      <c r="N15" s="70" t="n">
        <v>1</v>
      </c>
      <c r="O15" s="70" t="n">
        <v>1</v>
      </c>
      <c r="P15" s="70" t="n">
        <v>1</v>
      </c>
      <c r="Q15" s="70" t="n">
        <v>3</v>
      </c>
      <c r="R15" s="70" t="n">
        <v>2</v>
      </c>
    </row>
    <row r="16" customFormat="false" ht="96" hidden="false" customHeight="true" outlineLevel="0" collapsed="false">
      <c r="A16" s="85" t="s">
        <v>314</v>
      </c>
      <c r="B16" s="85" t="s">
        <v>302</v>
      </c>
      <c r="C16" s="86" t="s">
        <v>261</v>
      </c>
      <c r="D16" s="86" t="s">
        <v>315</v>
      </c>
      <c r="E16" s="86" t="s">
        <v>316</v>
      </c>
      <c r="F16" s="70" t="n">
        <v>3</v>
      </c>
      <c r="G16" s="70" t="n">
        <v>1</v>
      </c>
      <c r="H16" s="70" t="n">
        <v>3</v>
      </c>
      <c r="I16" s="70" t="n">
        <v>3</v>
      </c>
      <c r="J16" s="70" t="n">
        <v>2</v>
      </c>
      <c r="K16" s="70" t="n">
        <v>3</v>
      </c>
      <c r="L16" s="70" t="n">
        <v>2</v>
      </c>
      <c r="M16" s="70" t="n">
        <v>1</v>
      </c>
      <c r="N16" s="70" t="n">
        <v>3</v>
      </c>
      <c r="O16" s="70" t="n">
        <v>2</v>
      </c>
      <c r="P16" s="70" t="n">
        <v>2</v>
      </c>
      <c r="Q16" s="70" t="n">
        <v>0</v>
      </c>
      <c r="R16" s="70" t="n">
        <v>3</v>
      </c>
    </row>
    <row r="18" customFormat="false" ht="15" hidden="false" customHeight="true" outlineLevel="0" collapsed="false">
      <c r="A18" s="33" t="s">
        <v>317</v>
      </c>
    </row>
  </sheetData>
  <conditionalFormatting sqref="F6:R16">
    <cfRule type="expression" priority="2" aboveAverage="0" equalAverage="0" bottom="0" percent="0" rank="0" text="" dxfId="7">
      <formula>AND(ISNUMBER(F6),F6&gt;=Parâmetros!$B$5)</formula>
    </cfRule>
  </conditionalFormatting>
  <dataValidations count="1">
    <dataValidation allowBlank="true" error="Use 0, 1, 2 ou 3." errorStyle="stop" operator="between" showDropDown="false" showErrorMessage="true" showInputMessage="false" sqref="F6:R16" type="whole">
      <formula1>0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37</v>
      </c>
      <c r="B1" s="1" t="str">
        <f aca="false">'Matriz SWOT (seletor)'!$C$3</f>
        <v>Cáceres</v>
      </c>
    </row>
    <row r="2" customFormat="false" ht="15" hidden="false" customHeight="true" outlineLevel="0" collapsed="false">
      <c r="A2" s="1" t="s">
        <v>318</v>
      </c>
      <c r="B2" s="1" t="n">
        <f aca="false">IFERROR(MATCH($B$1,'Indicadores (F-W)'!$A$4:$AM$4,0),"")</f>
        <v>16</v>
      </c>
    </row>
    <row r="3" customFormat="false" ht="15" hidden="false" customHeight="true" outlineLevel="0" collapsed="false">
      <c r="A3" s="1" t="s">
        <v>319</v>
      </c>
      <c r="B3" s="1" t="n">
        <f aca="false">IFERROR(MATCH($B$1,'Fatores Externos (O-A)'!$A$4:$R$4,0),"")</f>
        <v>7</v>
      </c>
    </row>
    <row r="5" customFormat="false" ht="15" hidden="false" customHeight="true" outlineLevel="0" collapsed="false">
      <c r="A5" s="6" t="s">
        <v>59</v>
      </c>
      <c r="B5" s="6" t="s">
        <v>320</v>
      </c>
      <c r="C5" s="6" t="s">
        <v>102</v>
      </c>
      <c r="D5" s="6" t="s">
        <v>31</v>
      </c>
      <c r="E5" s="6" t="s">
        <v>321</v>
      </c>
      <c r="F5" s="6" t="s">
        <v>322</v>
      </c>
      <c r="H5" s="6" t="s">
        <v>59</v>
      </c>
      <c r="I5" s="6" t="s">
        <v>320</v>
      </c>
      <c r="J5" s="6" t="s">
        <v>67</v>
      </c>
      <c r="K5" s="6" t="s">
        <v>33</v>
      </c>
      <c r="L5" s="6" t="s">
        <v>323</v>
      </c>
      <c r="M5" s="6" t="s">
        <v>324</v>
      </c>
      <c r="N5" s="6" t="s">
        <v>325</v>
      </c>
      <c r="O5" s="6" t="s">
        <v>326</v>
      </c>
    </row>
    <row r="6" customFormat="false" ht="15" hidden="false" customHeight="true" outlineLevel="0" collapsed="false">
      <c r="A6" s="1" t="str">
        <f aca="false">'Indicadores (F-W)'!A6</f>
        <v>AGR-01</v>
      </c>
      <c r="B6" s="1" t="str">
        <f aca="false">"["&amp;'Indicadores (F-W)'!B6&amp;"] "&amp;'Indicadores (F-W)'!A6&amp;" – "&amp;'Indicadores (F-W)'!C6&amp;" ("&amp;'Indicadores (F-W)'!D6&amp;")"</f>
        <v>[Agropecuária] AGR-01 – Quociente locacional do VAB agropecuário (base MT) (índice)</v>
      </c>
      <c r="C6" s="1" t="str">
        <f aca="false">IF($B$2="","",INDEX('Indicadores (F-W)'!$A6:$AM6,1,$B$2+1))</f>
        <v>Fraqueza</v>
      </c>
      <c r="D6" s="87" t="n">
        <f aca="false">IF($B$2="","",INDEX('Indicadores (F-W)'!$A6:$AM6,1,$B$2))</f>
        <v>0.3713</v>
      </c>
      <c r="E6" s="1" t="str">
        <f aca="false">IF(C6="Força",COUNTIF(C$6:C6,"Força"),"")</f>
        <v/>
      </c>
      <c r="F6" s="1" t="n">
        <f aca="false">IF(C6="Fraqueza",COUNTIF(C$6:C6,"Fraqueza"),"")</f>
        <v>1</v>
      </c>
      <c r="H6" s="1" t="str">
        <f aca="false">'Fatores Externos (O-A)'!A6</f>
        <v>OP-01</v>
      </c>
      <c r="I6" s="1" t="str">
        <f aca="false">"["&amp;'Fatores Externos (O-A)'!C6&amp;"] "&amp;'Fatores Externos (O-A)'!A6&amp;" – "&amp;'Fatores Externos (O-A)'!D6</f>
        <v>[Agropecuária] OP-01 – Demanda externa por carne bovina e proteína animal</v>
      </c>
      <c r="J6" s="1" t="str">
        <f aca="false">'Fatores Externos (O-A)'!B6</f>
        <v>Oportunidade</v>
      </c>
      <c r="K6" s="1" t="n">
        <f aca="false">IF($B$3="","",INDEX('Fatores Externos (O-A)'!$A6:$R6,1,$B$3))</f>
        <v>3</v>
      </c>
      <c r="L6" s="1" t="n">
        <f aca="false">IF(AND(J6="Oportunidade",ISNUMBER(K6)),IF(K6&gt;=Parâmetros!$B$5,1,0),0)</f>
        <v>1</v>
      </c>
      <c r="M6" s="1" t="n">
        <f aca="false">IF(L6=1,SUM(L$6:L6),"")</f>
        <v>1</v>
      </c>
      <c r="N6" s="1" t="n">
        <f aca="false">IF(AND(J6="Ameaça",ISNUMBER(K6)),IF(K6&gt;=Parâmetros!$B$5,1,0),0)</f>
        <v>0</v>
      </c>
      <c r="O6" s="1" t="str">
        <f aca="false">IF(N6=1,SUM(N$6:N6),"")</f>
        <v/>
      </c>
    </row>
    <row r="7" customFormat="false" ht="15" hidden="false" customHeight="true" outlineLevel="0" collapsed="false">
      <c r="A7" s="1" t="str">
        <f aca="false">'Indicadores (F-W)'!A7</f>
        <v>AGR-02</v>
      </c>
      <c r="B7" s="1" t="str">
        <f aca="false">"["&amp;'Indicadores (F-W)'!B7&amp;"] "&amp;'Indicadores (F-W)'!A7&amp;" – "&amp;'Indicadores (F-W)'!C7&amp;" ("&amp;'Indicadores (F-W)'!D7&amp;")"</f>
        <v>[Agropecuária] AGR-02 – Valor da produção das lavouras por área colhida (R$/ha)</v>
      </c>
      <c r="C7" s="1" t="str">
        <f aca="false">IF($B$2="","",INDEX('Indicadores (F-W)'!$A7:$AM7,1,$B$2+1))</f>
        <v>Neutro</v>
      </c>
      <c r="D7" s="88" t="n">
        <f aca="false">IF($B$2="","",INDEX('Indicadores (F-W)'!$A7:$AM7,1,$B$2))</f>
        <v>5729.32</v>
      </c>
      <c r="E7" s="1" t="str">
        <f aca="false">IF(C7="Força",COUNTIF(C$6:C7,"Força"),"")</f>
        <v/>
      </c>
      <c r="F7" s="1" t="str">
        <f aca="false">IF(C7="Fraqueza",COUNTIF(C$6:C7,"Fraqueza"),"")</f>
        <v/>
      </c>
      <c r="H7" s="1" t="str">
        <f aca="false">'Fatores Externos (O-A)'!A7</f>
        <v>OP-02</v>
      </c>
      <c r="I7" s="1" t="str">
        <f aca="false">"["&amp;'Fatores Externos (O-A)'!C7&amp;"] "&amp;'Fatores Externos (O-A)'!A7&amp;" – "&amp;'Fatores Externos (O-A)'!D7</f>
        <v>[Agropecuária] OP-02 – Mercados para produtos diferenciados e certificados (carne sustentável/orgânica, origem Pantanal)</v>
      </c>
      <c r="J7" s="1" t="str">
        <f aca="false">'Fatores Externos (O-A)'!B7</f>
        <v>Oportunidade</v>
      </c>
      <c r="K7" s="1" t="n">
        <f aca="false">IF($B$3="","",INDEX('Fatores Externos (O-A)'!$A7:$R7,1,$B$3))</f>
        <v>3</v>
      </c>
      <c r="L7" s="1" t="n">
        <f aca="false">IF(AND(J7="Oportunidade",ISNUMBER(K7)),IF(K7&gt;=Parâmetros!$B$5,1,0),0)</f>
        <v>1</v>
      </c>
      <c r="M7" s="1" t="n">
        <f aca="false">IF(L7=1,SUM(L$6:L7),"")</f>
        <v>2</v>
      </c>
      <c r="N7" s="1" t="n">
        <f aca="false">IF(AND(J7="Ameaça",ISNUMBER(K7)),IF(K7&gt;=Parâmetros!$B$5,1,0),0)</f>
        <v>0</v>
      </c>
      <c r="O7" s="1" t="str">
        <f aca="false">IF(N7=1,SUM(N$6:N7),"")</f>
        <v/>
      </c>
    </row>
    <row r="8" customFormat="false" ht="15" hidden="false" customHeight="true" outlineLevel="0" collapsed="false">
      <c r="A8" s="1" t="str">
        <f aca="false">'Indicadores (F-W)'!A8</f>
        <v>AGR-03</v>
      </c>
      <c r="B8" s="1" t="str">
        <f aca="false">"["&amp;'Indicadores (F-W)'!B8&amp;"] "&amp;'Indicadores (F-W)'!A8&amp;" – "&amp;'Indicadores (F-W)'!C8&amp;" ("&amp;'Indicadores (F-W)'!D8&amp;")"</f>
        <v>[Agropecuária] AGR-03 – Variação do efetivo bovino em 5 anos (%)</v>
      </c>
      <c r="C8" s="1" t="str">
        <f aca="false">IF($B$2="","",INDEX('Indicadores (F-W)'!$A8:$AM8,1,$B$2+1))</f>
        <v>Força</v>
      </c>
      <c r="D8" s="88" t="n">
        <f aca="false">IF($B$2="","",INDEX('Indicadores (F-W)'!$A8:$AM8,1,$B$2))</f>
        <v>22.65</v>
      </c>
      <c r="E8" s="1" t="n">
        <f aca="false">IF(C8="Força",COUNTIF(C$6:C8,"Força"),"")</f>
        <v>1</v>
      </c>
      <c r="F8" s="1" t="str">
        <f aca="false">IF(C8="Fraqueza",COUNTIF(C$6:C8,"Fraqueza"),"")</f>
        <v/>
      </c>
      <c r="H8" s="1" t="str">
        <f aca="false">'Fatores Externos (O-A)'!A8</f>
        <v>OP-03</v>
      </c>
      <c r="I8" s="1" t="str">
        <f aca="false">"["&amp;'Fatores Externos (O-A)'!C8&amp;"] "&amp;'Fatores Externos (O-A)'!A8&amp;" – "&amp;'Fatores Externos (O-A)'!D8</f>
        <v>[Comércio e Serviços] OP-03 – Expansão do turismo de natureza, pesca esportiva e ecoturismo</v>
      </c>
      <c r="J8" s="1" t="str">
        <f aca="false">'Fatores Externos (O-A)'!B8</f>
        <v>Oportunidade</v>
      </c>
      <c r="K8" s="1" t="n">
        <f aca="false">IF($B$3="","",INDEX('Fatores Externos (O-A)'!$A8:$R8,1,$B$3))</f>
        <v>3</v>
      </c>
      <c r="L8" s="1" t="n">
        <f aca="false">IF(AND(J8="Oportunidade",ISNUMBER(K8)),IF(K8&gt;=Parâmetros!$B$5,1,0),0)</f>
        <v>1</v>
      </c>
      <c r="M8" s="1" t="n">
        <f aca="false">IF(L8=1,SUM(L$6:L8),"")</f>
        <v>3</v>
      </c>
      <c r="N8" s="1" t="n">
        <f aca="false">IF(AND(J8="Ameaça",ISNUMBER(K8)),IF(K8&gt;=Parâmetros!$B$5,1,0),0)</f>
        <v>0</v>
      </c>
      <c r="O8" s="1" t="str">
        <f aca="false">IF(N8=1,SUM(N$6:N8),"")</f>
        <v/>
      </c>
    </row>
    <row r="9" customFormat="false" ht="15" hidden="false" customHeight="true" outlineLevel="0" collapsed="false">
      <c r="A9" s="1" t="str">
        <f aca="false">'Indicadores (F-W)'!A9</f>
        <v>AGR-04</v>
      </c>
      <c r="B9" s="1" t="str">
        <f aca="false">"["&amp;'Indicadores (F-W)'!B9&amp;"] "&amp;'Indicadores (F-W)'!A9&amp;" – "&amp;'Indicadores (F-W)'!C9&amp;" ("&amp;'Indicadores (F-W)'!D9&amp;")"</f>
        <v>[Agropecuária] AGR-04 – Estabelecimentos agropecuários que receberam assistência técnica (%)</v>
      </c>
      <c r="C9" s="1" t="str">
        <f aca="false">IF($B$2="","",INDEX('Indicadores (F-W)'!$A9:$AM9,1,$B$2+1))</f>
        <v/>
      </c>
      <c r="D9" s="88" t="n">
        <f aca="false">IF($B$2="","",INDEX('Indicadores (F-W)'!$A9:$AM9,1,$B$2))</f>
        <v>0</v>
      </c>
      <c r="E9" s="1" t="str">
        <f aca="false">IF(C9="Força",COUNTIF(C$6:C9,"Força"),"")</f>
        <v/>
      </c>
      <c r="F9" s="1" t="str">
        <f aca="false">IF(C9="Fraqueza",COUNTIF(C$6:C9,"Fraqueza"),"")</f>
        <v/>
      </c>
      <c r="H9" s="1" t="str">
        <f aca="false">'Fatores Externos (O-A)'!A9</f>
        <v>OP-04</v>
      </c>
      <c r="I9" s="1" t="str">
        <f aca="false">"["&amp;'Fatores Externos (O-A)'!C9&amp;"] "&amp;'Fatores Externos (O-A)'!A9&amp;" – "&amp;'Fatores Externos (O-A)'!D9</f>
        <v>[Indústria] OP-04 – Agroindustrialização e verticalização (frigoríficos, laticínios, sucroenergético)</v>
      </c>
      <c r="J9" s="1" t="str">
        <f aca="false">'Fatores Externos (O-A)'!B9</f>
        <v>Oportunidade</v>
      </c>
      <c r="K9" s="1" t="n">
        <f aca="false">IF($B$3="","",INDEX('Fatores Externos (O-A)'!$A9:$R9,1,$B$3))</f>
        <v>2</v>
      </c>
      <c r="L9" s="1" t="n">
        <f aca="false">IF(AND(J9="Oportunidade",ISNUMBER(K9)),IF(K9&gt;=Parâmetros!$B$5,1,0),0)</f>
        <v>1</v>
      </c>
      <c r="M9" s="1" t="n">
        <f aca="false">IF(L9=1,SUM(L$6:L9),"")</f>
        <v>4</v>
      </c>
      <c r="N9" s="1" t="n">
        <f aca="false">IF(AND(J9="Ameaça",ISNUMBER(K9)),IF(K9&gt;=Parâmetros!$B$5,1,0),0)</f>
        <v>0</v>
      </c>
      <c r="O9" s="1" t="str">
        <f aca="false">IF(N9=1,SUM(N$6:N9),"")</f>
        <v/>
      </c>
    </row>
    <row r="10" customFormat="false" ht="15" hidden="false" customHeight="true" outlineLevel="0" collapsed="false">
      <c r="A10" s="1" t="str">
        <f aca="false">'Indicadores (F-W)'!A10</f>
        <v>AGR-05</v>
      </c>
      <c r="B10" s="1" t="str">
        <f aca="false">"["&amp;'Indicadores (F-W)'!B10&amp;"] "&amp;'Indicadores (F-W)'!A10&amp;" – "&amp;'Indicadores (F-W)'!C10&amp;" ("&amp;'Indicadores (F-W)'!D10&amp;")"</f>
        <v>[Agropecuária] AGR-05 – Diversificação agrícola (1 − HHI do valor da produção das lavouras) (índice 0–1)</v>
      </c>
      <c r="C10" s="1" t="str">
        <f aca="false">IF($B$2="","",INDEX('Indicadores (F-W)'!$A10:$AM10,1,$B$2+1))</f>
        <v/>
      </c>
      <c r="D10" s="88" t="n">
        <f aca="false">IF($B$2="","",INDEX('Indicadores (F-W)'!$A10:$AM10,1,$B$2))</f>
        <v>0</v>
      </c>
      <c r="E10" s="1" t="str">
        <f aca="false">IF(C10="Força",COUNTIF(C$6:C10,"Força"),"")</f>
        <v/>
      </c>
      <c r="F10" s="1" t="str">
        <f aca="false">IF(C10="Fraqueza",COUNTIF(C$6:C10,"Fraqueza"),"")</f>
        <v/>
      </c>
      <c r="H10" s="1" t="str">
        <f aca="false">'Fatores Externos (O-A)'!A10</f>
        <v>OP-05</v>
      </c>
      <c r="I10" s="1" t="str">
        <f aca="false">"["&amp;'Fatores Externos (O-A)'!C10&amp;"] "&amp;'Fatores Externos (O-A)'!A10&amp;" – "&amp;'Fatores Externos (O-A)'!D10</f>
        <v>[Estrutura Econômica e Fiscal] OP-05 – Corredores logísticos (rodovias federais, ferrovia, hidrovia do Paraguai)</v>
      </c>
      <c r="J10" s="1" t="str">
        <f aca="false">'Fatores Externos (O-A)'!B10</f>
        <v>Oportunidade</v>
      </c>
      <c r="K10" s="1" t="n">
        <f aca="false">IF($B$3="","",INDEX('Fatores Externos (O-A)'!$A10:$R10,1,$B$3))</f>
        <v>3</v>
      </c>
      <c r="L10" s="1" t="n">
        <f aca="false">IF(AND(J10="Oportunidade",ISNUMBER(K10)),IF(K10&gt;=Parâmetros!$B$5,1,0),0)</f>
        <v>1</v>
      </c>
      <c r="M10" s="1" t="n">
        <f aca="false">IF(L10=1,SUM(L$6:L10),"")</f>
        <v>5</v>
      </c>
      <c r="N10" s="1" t="n">
        <f aca="false">IF(AND(J10="Ameaça",ISNUMBER(K10)),IF(K10&gt;=Parâmetros!$B$5,1,0),0)</f>
        <v>0</v>
      </c>
      <c r="O10" s="1" t="str">
        <f aca="false">IF(N10=1,SUM(N$6:N10),"")</f>
        <v/>
      </c>
    </row>
    <row r="11" customFormat="false" ht="15" hidden="false" customHeight="true" outlineLevel="0" collapsed="false">
      <c r="A11" s="1" t="str">
        <f aca="false">'Indicadores (F-W)'!A11</f>
        <v>IND-01</v>
      </c>
      <c r="B11" s="1" t="str">
        <f aca="false">"["&amp;'Indicadores (F-W)'!B11&amp;"] "&amp;'Indicadores (F-W)'!A11&amp;" – "&amp;'Indicadores (F-W)'!C11&amp;" ("&amp;'Indicadores (F-W)'!D11&amp;")"</f>
        <v>[Indústria] IND-01 – Quociente locacional do VAB industrial (base MT) (índice)</v>
      </c>
      <c r="C11" s="1" t="str">
        <f aca="false">IF($B$2="","",INDEX('Indicadores (F-W)'!$A11:$AM11,1,$B$2+1))</f>
        <v>Fraqueza</v>
      </c>
      <c r="D11" s="87" t="n">
        <f aca="false">IF($B$2="","",INDEX('Indicadores (F-W)'!$A11:$AM11,1,$B$2))</f>
        <v>0.6374</v>
      </c>
      <c r="E11" s="1" t="str">
        <f aca="false">IF(C11="Força",COUNTIF(C$6:C11,"Força"),"")</f>
        <v/>
      </c>
      <c r="F11" s="1" t="n">
        <f aca="false">IF(C11="Fraqueza",COUNTIF(C$6:C11,"Fraqueza"),"")</f>
        <v>2</v>
      </c>
      <c r="H11" s="1" t="str">
        <f aca="false">'Fatores Externos (O-A)'!A11</f>
        <v>OP-06</v>
      </c>
      <c r="I11" s="1" t="str">
        <f aca="false">"["&amp;'Fatores Externos (O-A)'!C11&amp;"] "&amp;'Fatores Externos (O-A)'!A11&amp;" – "&amp;'Fatores Externos (O-A)'!D11</f>
        <v>[Estrutura Econômica e Fiscal] OP-06 – Instrumentos de fomento e financiamento (FCO, crédito rural, PSA, mercado de carbono)</v>
      </c>
      <c r="J11" s="1" t="str">
        <f aca="false">'Fatores Externos (O-A)'!B11</f>
        <v>Oportunidade</v>
      </c>
      <c r="K11" s="1" t="n">
        <f aca="false">IF($B$3="","",INDEX('Fatores Externos (O-A)'!$A11:$R11,1,$B$3))</f>
        <v>3</v>
      </c>
      <c r="L11" s="1" t="n">
        <f aca="false">IF(AND(J11="Oportunidade",ISNUMBER(K11)),IF(K11&gt;=Parâmetros!$B$5,1,0),0)</f>
        <v>1</v>
      </c>
      <c r="M11" s="1" t="n">
        <f aca="false">IF(L11=1,SUM(L$6:L11),"")</f>
        <v>6</v>
      </c>
      <c r="N11" s="1" t="n">
        <f aca="false">IF(AND(J11="Ameaça",ISNUMBER(K11)),IF(K11&gt;=Parâmetros!$B$5,1,0),0)</f>
        <v>0</v>
      </c>
      <c r="O11" s="1" t="str">
        <f aca="false">IF(N11=1,SUM(N$6:N11),"")</f>
        <v/>
      </c>
    </row>
    <row r="12" customFormat="false" ht="15" hidden="false" customHeight="true" outlineLevel="0" collapsed="false">
      <c r="A12" s="1" t="str">
        <f aca="false">'Indicadores (F-W)'!A12</f>
        <v>IND-02</v>
      </c>
      <c r="B12" s="1" t="str">
        <f aca="false">"["&amp;'Indicadores (F-W)'!B12&amp;"] "&amp;'Indicadores (F-W)'!A12&amp;" – "&amp;'Indicadores (F-W)'!C12&amp;" ("&amp;'Indicadores (F-W)'!D12&amp;")"</f>
        <v>[Indústria] IND-02 – Variação do emprego formal na indústria em 5 anos (%)</v>
      </c>
      <c r="C12" s="1" t="str">
        <f aca="false">IF($B$2="","",INDEX('Indicadores (F-W)'!$A12:$AM12,1,$B$2+1))</f>
        <v>Força</v>
      </c>
      <c r="D12" s="88" t="n">
        <f aca="false">IF($B$2="","",INDEX('Indicadores (F-W)'!$A12:$AM12,1,$B$2))</f>
        <v>58.91</v>
      </c>
      <c r="E12" s="1" t="n">
        <f aca="false">IF(C12="Força",COUNTIF(C$6:C12,"Força"),"")</f>
        <v>2</v>
      </c>
      <c r="F12" s="1" t="str">
        <f aca="false">IF(C12="Fraqueza",COUNTIF(C$6:C12,"Fraqueza"),"")</f>
        <v/>
      </c>
      <c r="H12" s="1" t="str">
        <f aca="false">'Fatores Externos (O-A)'!A12</f>
        <v>AM-01</v>
      </c>
      <c r="I12" s="1" t="str">
        <f aca="false">"["&amp;'Fatores Externos (O-A)'!C12&amp;"] "&amp;'Fatores Externos (O-A)'!A12&amp;" – "&amp;'Fatores Externos (O-A)'!D12</f>
        <v>[Agropecuária] AM-01 – Eventos climáticos extremos: secas prolongadas e incêndios no Pantanal</v>
      </c>
      <c r="J12" s="1" t="str">
        <f aca="false">'Fatores Externos (O-A)'!B12</f>
        <v>Ameaça</v>
      </c>
      <c r="K12" s="1" t="n">
        <f aca="false">IF($B$3="","",INDEX('Fatores Externos (O-A)'!$A12:$R12,1,$B$3))</f>
        <v>3</v>
      </c>
      <c r="L12" s="1" t="n">
        <f aca="false">IF(AND(J12="Oportunidade",ISNUMBER(K12)),IF(K12&gt;=Parâmetros!$B$5,1,0),0)</f>
        <v>0</v>
      </c>
      <c r="M12" s="1" t="str">
        <f aca="false">IF(L12=1,SUM(L$6:L12),"")</f>
        <v/>
      </c>
      <c r="N12" s="1" t="n">
        <f aca="false">IF(AND(J12="Ameaça",ISNUMBER(K12)),IF(K12&gt;=Parâmetros!$B$5,1,0),0)</f>
        <v>1</v>
      </c>
      <c r="O12" s="1" t="n">
        <f aca="false">IF(N12=1,SUM(N$6:N12),"")</f>
        <v>1</v>
      </c>
    </row>
    <row r="13" customFormat="false" ht="15" hidden="false" customHeight="true" outlineLevel="0" collapsed="false">
      <c r="A13" s="1" t="str">
        <f aca="false">'Indicadores (F-W)'!A13</f>
        <v>IND-03</v>
      </c>
      <c r="B13" s="1" t="str">
        <f aca="false">"["&amp;'Indicadores (F-W)'!B13&amp;"] "&amp;'Indicadores (F-W)'!A13&amp;" – "&amp;'Indicadores (F-W)'!C13&amp;" ("&amp;'Indicadores (F-W)'!D13&amp;")"</f>
        <v>[Indústria] IND-03 – Remuneração média do emprego formal industrial (R$)</v>
      </c>
      <c r="C13" s="1" t="str">
        <f aca="false">IF($B$2="","",INDEX('Indicadores (F-W)'!$A13:$AM13,1,$B$2+1))</f>
        <v>Fraqueza</v>
      </c>
      <c r="D13" s="88" t="n">
        <f aca="false">IF($B$2="","",INDEX('Indicadores (F-W)'!$A13:$AM13,1,$B$2))</f>
        <v>2345.65</v>
      </c>
      <c r="E13" s="1" t="str">
        <f aca="false">IF(C13="Força",COUNTIF(C$6:C13,"Força"),"")</f>
        <v/>
      </c>
      <c r="F13" s="1" t="n">
        <f aca="false">IF(C13="Fraqueza",COUNTIF(C$6:C13,"Fraqueza"),"")</f>
        <v>3</v>
      </c>
      <c r="H13" s="1" t="str">
        <f aca="false">'Fatores Externos (O-A)'!A13</f>
        <v>AM-02</v>
      </c>
      <c r="I13" s="1" t="str">
        <f aca="false">"["&amp;'Fatores Externos (O-A)'!C13&amp;"] "&amp;'Fatores Externos (O-A)'!A13&amp;" – "&amp;'Fatores Externos (O-A)'!D13</f>
        <v>[Agropecuária] AM-02 – Volatilidade de preços de commodities (boi gordo, soja, milho)</v>
      </c>
      <c r="J13" s="1" t="str">
        <f aca="false">'Fatores Externos (O-A)'!B13</f>
        <v>Ameaça</v>
      </c>
      <c r="K13" s="1" t="n">
        <f aca="false">IF($B$3="","",INDEX('Fatores Externos (O-A)'!$A13:$R13,1,$B$3))</f>
        <v>3</v>
      </c>
      <c r="L13" s="1" t="n">
        <f aca="false">IF(AND(J13="Oportunidade",ISNUMBER(K13)),IF(K13&gt;=Parâmetros!$B$5,1,0),0)</f>
        <v>0</v>
      </c>
      <c r="M13" s="1" t="str">
        <f aca="false">IF(L13=1,SUM(L$6:L13),"")</f>
        <v/>
      </c>
      <c r="N13" s="1" t="n">
        <f aca="false">IF(AND(J13="Ameaça",ISNUMBER(K13)),IF(K13&gt;=Parâmetros!$B$5,1,0),0)</f>
        <v>1</v>
      </c>
      <c r="O13" s="1" t="n">
        <f aca="false">IF(N13=1,SUM(N$6:N13),"")</f>
        <v>2</v>
      </c>
    </row>
    <row r="14" customFormat="false" ht="15" hidden="false" customHeight="true" outlineLevel="0" collapsed="false">
      <c r="A14" s="1" t="str">
        <f aca="false">'Indicadores (F-W)'!A14</f>
        <v>CS-01</v>
      </c>
      <c r="B14" s="1" t="str">
        <f aca="false">"["&amp;'Indicadores (F-W)'!B14&amp;"] "&amp;'Indicadores (F-W)'!A14&amp;" – "&amp;'Indicadores (F-W)'!C14&amp;" ("&amp;'Indicadores (F-W)'!D14&amp;")"</f>
        <v>[Comércio e Serviços] CS-01 – Quociente locacional do VAB de serviços, exceto adm. pública (base MT) (índice)</v>
      </c>
      <c r="C14" s="1" t="str">
        <f aca="false">IF($B$2="","",INDEX('Indicadores (F-W)'!$A14:$AM14,1,$B$2+1))</f>
        <v>Força</v>
      </c>
      <c r="D14" s="87" t="n">
        <f aca="false">IF($B$2="","",INDEX('Indicadores (F-W)'!$A14:$AM14,1,$B$2))</f>
        <v>1.3013</v>
      </c>
      <c r="E14" s="1" t="n">
        <f aca="false">IF(C14="Força",COUNTIF(C$6:C14,"Força"),"")</f>
        <v>3</v>
      </c>
      <c r="F14" s="1" t="str">
        <f aca="false">IF(C14="Fraqueza",COUNTIF(C$6:C14,"Fraqueza"),"")</f>
        <v/>
      </c>
      <c r="H14" s="1" t="str">
        <f aca="false">'Fatores Externos (O-A)'!A14</f>
        <v>AM-03</v>
      </c>
      <c r="I14" s="1" t="str">
        <f aca="false">"["&amp;'Fatores Externos (O-A)'!C14&amp;"] "&amp;'Fatores Externos (O-A)'!A14&amp;" – "&amp;'Fatores Externos (O-A)'!D14</f>
        <v>[Agropecuária] AM-03 – Exigências ambientais de mercados importadores e barreiras ligadas a desmatamento (ex.: EUDR)</v>
      </c>
      <c r="J14" s="1" t="str">
        <f aca="false">'Fatores Externos (O-A)'!B14</f>
        <v>Ameaça</v>
      </c>
      <c r="K14" s="1" t="n">
        <f aca="false">IF($B$3="","",INDEX('Fatores Externos (O-A)'!$A14:$R14,1,$B$3))</f>
        <v>3</v>
      </c>
      <c r="L14" s="1" t="n">
        <f aca="false">IF(AND(J14="Oportunidade",ISNUMBER(K14)),IF(K14&gt;=Parâmetros!$B$5,1,0),0)</f>
        <v>0</v>
      </c>
      <c r="M14" s="1" t="str">
        <f aca="false">IF(L14=1,SUM(L$6:L14),"")</f>
        <v/>
      </c>
      <c r="N14" s="1" t="n">
        <f aca="false">IF(AND(J14="Ameaça",ISNUMBER(K14)),IF(K14&gt;=Parâmetros!$B$5,1,0),0)</f>
        <v>1</v>
      </c>
      <c r="O14" s="1" t="n">
        <f aca="false">IF(N14=1,SUM(N$6:N14),"")</f>
        <v>3</v>
      </c>
    </row>
    <row r="15" customFormat="false" ht="15" hidden="false" customHeight="true" outlineLevel="0" collapsed="false">
      <c r="A15" s="1" t="str">
        <f aca="false">'Indicadores (F-W)'!A15</f>
        <v>CS-02</v>
      </c>
      <c r="B15" s="1" t="str">
        <f aca="false">"["&amp;'Indicadores (F-W)'!B15&amp;"] "&amp;'Indicadores (F-W)'!A15&amp;" – "&amp;'Indicadores (F-W)'!C15&amp;" ("&amp;'Indicadores (F-W)'!D15&amp;")"</f>
        <v>[Comércio e Serviços] CS-02 – Variação do emprego formal em comércio e serviços em 5 anos (%)</v>
      </c>
      <c r="C15" s="1" t="str">
        <f aca="false">IF($B$2="","",INDEX('Indicadores (F-W)'!$A15:$AM15,1,$B$2+1))</f>
        <v>Fraqueza</v>
      </c>
      <c r="D15" s="88" t="n">
        <f aca="false">IF($B$2="","",INDEX('Indicadores (F-W)'!$A15:$AM15,1,$B$2))</f>
        <v>13.05</v>
      </c>
      <c r="E15" s="1" t="str">
        <f aca="false">IF(C15="Força",COUNTIF(C$6:C15,"Força"),"")</f>
        <v/>
      </c>
      <c r="F15" s="1" t="n">
        <f aca="false">IF(C15="Fraqueza",COUNTIF(C$6:C15,"Fraqueza"),"")</f>
        <v>4</v>
      </c>
      <c r="H15" s="1" t="str">
        <f aca="false">'Fatores Externos (O-A)'!A15</f>
        <v>AM-04</v>
      </c>
      <c r="I15" s="1" t="str">
        <f aca="false">"["&amp;'Fatores Externos (O-A)'!C15&amp;"] "&amp;'Fatores Externos (O-A)'!A15&amp;" – "&amp;'Fatores Externos (O-A)'!D15</f>
        <v>[Estrutura Econômica e Fiscal] AM-04 – Transição da Reforma Tributária (IBS/CBS) e efeitos sobre a repartição de receitas municipais</v>
      </c>
      <c r="J15" s="1" t="str">
        <f aca="false">'Fatores Externos (O-A)'!B15</f>
        <v>Ameaça</v>
      </c>
      <c r="K15" s="1" t="n">
        <f aca="false">IF($B$3="","",INDEX('Fatores Externos (O-A)'!$A15:$R15,1,$B$3))</f>
        <v>2</v>
      </c>
      <c r="L15" s="1" t="n">
        <f aca="false">IF(AND(J15="Oportunidade",ISNUMBER(K15)),IF(K15&gt;=Parâmetros!$B$5,1,0),0)</f>
        <v>0</v>
      </c>
      <c r="M15" s="1" t="str">
        <f aca="false">IF(L15=1,SUM(L$6:L15),"")</f>
        <v/>
      </c>
      <c r="N15" s="1" t="n">
        <f aca="false">IF(AND(J15="Ameaça",ISNUMBER(K15)),IF(K15&gt;=Parâmetros!$B$5,1,0),0)</f>
        <v>1</v>
      </c>
      <c r="O15" s="1" t="n">
        <f aca="false">IF(N15=1,SUM(N$6:N15),"")</f>
        <v>4</v>
      </c>
    </row>
    <row r="16" customFormat="false" ht="15" hidden="false" customHeight="true" outlineLevel="0" collapsed="false">
      <c r="A16" s="1" t="str">
        <f aca="false">'Indicadores (F-W)'!A16</f>
        <v>CS-03</v>
      </c>
      <c r="B16" s="1" t="str">
        <f aca="false">"["&amp;'Indicadores (F-W)'!B16&amp;"] "&amp;'Indicadores (F-W)'!A16&amp;" – "&amp;'Indicadores (F-W)'!C16&amp;" ("&amp;'Indicadores (F-W)'!D16&amp;")"</f>
        <v>[Comércio e Serviços] CS-03 – Empresas e outras organizações ativas por mil habitantes (un./mil hab.)</v>
      </c>
      <c r="C16" s="1" t="str">
        <f aca="false">IF($B$2="","",INDEX('Indicadores (F-W)'!$A16:$AM16,1,$B$2+1))</f>
        <v>Fraqueza</v>
      </c>
      <c r="D16" s="88" t="n">
        <f aca="false">IF($B$2="","",INDEX('Indicadores (F-W)'!$A16:$AM16,1,$B$2))</f>
        <v>19.41</v>
      </c>
      <c r="E16" s="1" t="str">
        <f aca="false">IF(C16="Força",COUNTIF(C$6:C16,"Força"),"")</f>
        <v/>
      </c>
      <c r="F16" s="1" t="n">
        <f aca="false">IF(C16="Fraqueza",COUNTIF(C$6:C16,"Fraqueza"),"")</f>
        <v>5</v>
      </c>
      <c r="H16" s="1" t="str">
        <f aca="false">'Fatores Externos (O-A)'!A16</f>
        <v>AM-05</v>
      </c>
      <c r="I16" s="1" t="str">
        <f aca="false">"["&amp;'Fatores Externos (O-A)'!C16&amp;"] "&amp;'Fatores Externos (O-A)'!A16&amp;" – "&amp;'Fatores Externos (O-A)'!D16</f>
        <v>[Comércio e Serviços] AM-05 – Polarização regional por centros maiores (evasão de consumo, serviços e mão de obra)</v>
      </c>
      <c r="J16" s="1" t="str">
        <f aca="false">'Fatores Externos (O-A)'!B16</f>
        <v>Ameaça</v>
      </c>
      <c r="K16" s="1" t="n">
        <f aca="false">IF($B$3="","",INDEX('Fatores Externos (O-A)'!$A16:$R16,1,$B$3))</f>
        <v>1</v>
      </c>
      <c r="L16" s="1" t="n">
        <f aca="false">IF(AND(J16="Oportunidade",ISNUMBER(K16)),IF(K16&gt;=Parâmetros!$B$5,1,0),0)</f>
        <v>0</v>
      </c>
      <c r="M16" s="1" t="str">
        <f aca="false">IF(L16=1,SUM(L$6:L16),"")</f>
        <v/>
      </c>
      <c r="N16" s="1" t="n">
        <f aca="false">IF(AND(J16="Ameaça",ISNUMBER(K16)),IF(K16&gt;=Parâmetros!$B$5,1,0),0)</f>
        <v>0</v>
      </c>
      <c r="O16" s="1" t="str">
        <f aca="false">IF(N16=1,SUM(N$6:N16),"")</f>
        <v/>
      </c>
    </row>
    <row r="17" customFormat="false" ht="15" hidden="false" customHeight="true" outlineLevel="0" collapsed="false">
      <c r="A17" s="1" t="str">
        <f aca="false">'Indicadores (F-W)'!A17</f>
        <v>EST-01</v>
      </c>
      <c r="B17" s="1" t="str">
        <f aca="false">"["&amp;'Indicadores (F-W)'!B17&amp;"] "&amp;'Indicadores (F-W)'!A17&amp;" – "&amp;'Indicadores (F-W)'!C17&amp;" ("&amp;'Indicadores (F-W)'!D17&amp;")"</f>
        <v>[Estrutura Econômica e Fiscal] EST-01 – PIB per capita (R$)</v>
      </c>
      <c r="C17" s="1" t="str">
        <f aca="false">IF($B$2="","",INDEX('Indicadores (F-W)'!$A17:$AM17,1,$B$2+1))</f>
        <v>Fraqueza</v>
      </c>
      <c r="D17" s="89" t="n">
        <f aca="false">IF($B$2="","",INDEX('Indicadores (F-W)'!$A17:$AM17,1,$B$2))</f>
        <v>31174.15</v>
      </c>
      <c r="E17" s="1" t="str">
        <f aca="false">IF(C17="Força",COUNTIF(C$6:C17,"Força"),"")</f>
        <v/>
      </c>
      <c r="F17" s="1" t="n">
        <f aca="false">IF(C17="Fraqueza",COUNTIF(C$6:C17,"Fraqueza"),"")</f>
        <v>6</v>
      </c>
    </row>
    <row r="18" customFormat="false" ht="15" hidden="false" customHeight="true" outlineLevel="0" collapsed="false">
      <c r="A18" s="1" t="str">
        <f aca="false">'Indicadores (F-W)'!A18</f>
        <v>EST-02</v>
      </c>
      <c r="B18" s="1" t="str">
        <f aca="false">"["&amp;'Indicadores (F-W)'!B18&amp;"] "&amp;'Indicadores (F-W)'!A18&amp;" – "&amp;'Indicadores (F-W)'!C18&amp;" ("&amp;'Indicadores (F-W)'!D18&amp;")"</f>
        <v>[Estrutura Econômica e Fiscal] EST-02 – Participação da administração pública no VAB total (%)</v>
      </c>
      <c r="C18" s="1" t="str">
        <f aca="false">IF($B$2="","",INDEX('Indicadores (F-W)'!$A18:$AM18,1,$B$2+1))</f>
        <v>Fraqueza</v>
      </c>
      <c r="D18" s="90" t="n">
        <f aca="false">IF($B$2="","",INDEX('Indicadores (F-W)'!$A18:$AM18,1,$B$2))</f>
        <v>30.82</v>
      </c>
      <c r="E18" s="1" t="str">
        <f aca="false">IF(C18="Força",COUNTIF(C$6:C18,"Força"),"")</f>
        <v/>
      </c>
      <c r="F18" s="1" t="n">
        <f aca="false">IF(C18="Fraqueza",COUNTIF(C$6:C18,"Fraqueza"),"")</f>
        <v>7</v>
      </c>
    </row>
    <row r="19" customFormat="false" ht="15" hidden="false" customHeight="true" outlineLevel="0" collapsed="false">
      <c r="A19" s="1" t="str">
        <f aca="false">'Indicadores (F-W)'!A19</f>
        <v>EST-03</v>
      </c>
      <c r="B19" s="1" t="str">
        <f aca="false">"["&amp;'Indicadores (F-W)'!B19&amp;"] "&amp;'Indicadores (F-W)'!A19&amp;" – "&amp;'Indicadores (F-W)'!C19&amp;" ("&amp;'Indicadores (F-W)'!D19&amp;")"</f>
        <v>[Estrutura Econômica e Fiscal] EST-03 – Vínculos formais por 100 habitantes (vínculos/100 hab.)</v>
      </c>
      <c r="C19" s="1" t="str">
        <f aca="false">IF($B$2="","",INDEX('Indicadores (F-W)'!$A19:$AM19,1,$B$2+1))</f>
        <v>Fraqueza</v>
      </c>
      <c r="D19" s="88" t="n">
        <f aca="false">IF($B$2="","",INDEX('Indicadores (F-W)'!$A19:$AM19,1,$B$2))</f>
        <v>18.4</v>
      </c>
      <c r="E19" s="1" t="str">
        <f aca="false">IF(C19="Força",COUNTIF(C$6:C19,"Força"),"")</f>
        <v/>
      </c>
      <c r="F19" s="1" t="n">
        <f aca="false">IF(C19="Fraqueza",COUNTIF(C$6:C19,"Fraqueza"),"")</f>
        <v>8</v>
      </c>
    </row>
    <row r="20" customFormat="false" ht="15" hidden="false" customHeight="true" outlineLevel="0" collapsed="false">
      <c r="A20" s="1" t="str">
        <f aca="false">'Indicadores (F-W)'!A20</f>
        <v>EST-04</v>
      </c>
      <c r="B20" s="1" t="str">
        <f aca="false">"["&amp;'Indicadores (F-W)'!B20&amp;"] "&amp;'Indicadores (F-W)'!A20&amp;" – "&amp;'Indicadores (F-W)'!C20&amp;" ("&amp;'Indicadores (F-W)'!D20&amp;")"</f>
        <v>[Estrutura Econômica e Fiscal] EST-04 – Concentração setorial do emprego formal (HHI por seção CNAE) (índice 0–1)</v>
      </c>
      <c r="C20" s="1" t="str">
        <f aca="false">IF($B$2="","",INDEX('Indicadores (F-W)'!$A20:$AM20,1,$B$2+1))</f>
        <v>Neutro</v>
      </c>
      <c r="D20" s="88" t="n">
        <f aca="false">IF($B$2="","",INDEX('Indicadores (F-W)'!$A20:$AM20,1,$B$2))</f>
        <v>0.1286</v>
      </c>
      <c r="E20" s="1" t="str">
        <f aca="false">IF(C20="Força",COUNTIF(C$6:C20,"Força"),"")</f>
        <v/>
      </c>
      <c r="F20" s="1" t="str">
        <f aca="false">IF(C20="Fraqueza",COUNTIF(C$6:C20,"Fraqueza"),"")</f>
        <v/>
      </c>
    </row>
    <row r="21" customFormat="false" ht="15" hidden="false" customHeight="true" outlineLevel="0" collapsed="false">
      <c r="A21" s="1" t="str">
        <f aca="false">'Indicadores (F-W)'!A21</f>
        <v>EST-05</v>
      </c>
      <c r="B21" s="1" t="str">
        <f aca="false">"["&amp;'Indicadores (F-W)'!B21&amp;"] "&amp;'Indicadores (F-W)'!A21&amp;" – "&amp;'Indicadores (F-W)'!C21&amp;" ("&amp;'Indicadores (F-W)'!D21&amp;")"</f>
        <v>[Estrutura Econômica e Fiscal] EST-05 – Receitas próprias / receita corrente (%)</v>
      </c>
      <c r="C21" s="1" t="str">
        <f aca="false">IF($B$2="","",INDEX('Indicadores (F-W)'!$A21:$AM21,1,$B$2+1))</f>
        <v>Neutro</v>
      </c>
      <c r="D21" s="88" t="n">
        <f aca="false">IF($B$2="","",INDEX('Indicadores (F-W)'!$A21:$AM21,1,$B$2))</f>
        <v>17.68</v>
      </c>
      <c r="E21" s="1" t="str">
        <f aca="false">IF(C21="Força",COUNTIF(C$6:C21,"Força"),"")</f>
        <v/>
      </c>
      <c r="F21" s="1" t="str">
        <f aca="false">IF(C21="Fraqueza",COUNTIF(C$6:C21,"Fraqueza"),"")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W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"/>
    <col collapsed="false" customWidth="true" hidden="false" outlineLevel="0" max="3" min="3" style="1" width="55"/>
    <col collapsed="false" customWidth="true" hidden="false" outlineLevel="0" max="4" min="4" style="1" width="12"/>
    <col collapsed="false" customWidth="true" hidden="false" outlineLevel="0" max="5" min="5" style="1" width="2"/>
    <col collapsed="false" customWidth="true" hidden="false" outlineLevel="0" max="6" min="6" style="1" width="5"/>
    <col collapsed="false" customWidth="true" hidden="false" outlineLevel="0" max="7" min="7" style="1" width="55"/>
    <col collapsed="false" customWidth="true" hidden="false" outlineLevel="0" max="8" min="8" style="1" width="12"/>
    <col collapsed="false" customWidth="true" hidden="true" outlineLevel="0" max="23" min="11" style="1" width="13"/>
  </cols>
  <sheetData>
    <row r="1" customFormat="false" ht="17.25" hidden="false" customHeight="true" outlineLevel="0" collapsed="false">
      <c r="B1" s="91" t="s">
        <v>327</v>
      </c>
    </row>
    <row r="2" customFormat="false" ht="15" hidden="false" customHeight="true" outlineLevel="0" collapsed="false">
      <c r="B2" s="9" t="s">
        <v>328</v>
      </c>
    </row>
    <row r="3" customFormat="false" ht="15" hidden="false" customHeight="true" outlineLevel="0" collapsed="false">
      <c r="B3" s="92" t="str">
        <f aca="false">"Indicadores internos com dado: "&amp;(COUNTA(L6:L21)-COUNTBLANK(L6:L21))&amp;" de 16  |  Neutros: "&amp;COUNTIF(L6:L21,"Neutro")&amp;"  |  Fatores externos pontuados: "&amp;COUNT(S6:S16)&amp;" de 11"</f>
        <v>Indicadores internos com dado: 14 de 16  |  Neutros: 1  |  Fatores externos pontuados: 11 de 11</v>
      </c>
    </row>
    <row r="5" customFormat="false" ht="15" hidden="false" customHeight="true" outlineLevel="0" collapsed="false">
      <c r="B5" s="10" t="s">
        <v>27</v>
      </c>
      <c r="C5" s="10"/>
      <c r="D5" s="10"/>
      <c r="F5" s="10" t="s">
        <v>28</v>
      </c>
      <c r="G5" s="10"/>
      <c r="H5" s="10"/>
    </row>
    <row r="6" customFormat="false" ht="15" hidden="false" customHeight="true" outlineLevel="0" collapsed="false">
      <c r="B6" s="11" t="str">
        <f aca="false">"FORÇAS (S) — "&amp;COUNTIF($L$6:$L$21,"Força")&amp;" item(ns)"</f>
        <v>FORÇAS (S) — 3 item(ns)</v>
      </c>
      <c r="C6" s="11"/>
      <c r="D6" s="11"/>
      <c r="F6" s="12" t="str">
        <f aca="false">"FRAQUEZAS (W) — "&amp;COUNTIF($L$6:$L$21,"Fraqueza")&amp;" item(ns)"</f>
        <v>FRAQUEZAS (W) — 10 item(ns)</v>
      </c>
      <c r="G6" s="12"/>
      <c r="H6" s="12"/>
      <c r="K6" s="1" t="str">
        <f aca="false">Aux!B6</f>
        <v>[Agropecuária] AGR-01 – Quociente locacional do VAB agropecuário (base MT) (índice)</v>
      </c>
      <c r="L6" s="1" t="str">
        <f aca="false">'Indicadores (F-W)'!O6</f>
        <v>Neutro</v>
      </c>
      <c r="M6" s="87" t="n">
        <f aca="false">IF('Indicadores (F-W)'!N6="","",'Indicadores (F-W)'!N6)</f>
        <v>0.9631</v>
      </c>
      <c r="N6" s="1" t="str">
        <f aca="false">IF(L6="Força",COUNTIF(L$6:L6,"Força"),"")</f>
        <v/>
      </c>
      <c r="O6" s="1" t="str">
        <f aca="false">IF(L6="Fraqueza",COUNTIF(L$6:L6,"Fraqueza"),"")</f>
        <v/>
      </c>
      <c r="Q6" s="1" t="str">
        <f aca="false">Aux!I6</f>
        <v>[Agropecuária] OP-01 – Demanda externa por carne bovina e proteína animal</v>
      </c>
      <c r="R6" s="1" t="str">
        <f aca="false">Aux!J6</f>
        <v>Oportunidade</v>
      </c>
      <c r="S6" s="1" t="n">
        <f aca="false">IF('Fatores Externos (O-A)'!F6="","",'Fatores Externos (O-A)'!F6)</f>
        <v>1</v>
      </c>
      <c r="T6" s="1" t="n">
        <f aca="false">IF(AND(R6="Oportunidade",ISNUMBER(S6)),IF(S6&gt;=Parâmetros!$B$5,1,0),0)</f>
        <v>0</v>
      </c>
      <c r="U6" s="1" t="str">
        <f aca="false">IF(T6=1,SUM(T$6:T6),"")</f>
        <v/>
      </c>
      <c r="V6" s="1" t="n">
        <f aca="false">IF(AND(R6="Ameaça",ISNUMBER(S6)),IF(S6&gt;=Parâmetros!$B$5,1,0),0)</f>
        <v>0</v>
      </c>
      <c r="W6" s="1" t="str">
        <f aca="false">IF(V6=1,SUM(V$6:V6),"")</f>
        <v/>
      </c>
    </row>
    <row r="7" customFormat="false" ht="15" hidden="false" customHeight="true" outlineLevel="0" collapsed="false">
      <c r="B7" s="13" t="s">
        <v>29</v>
      </c>
      <c r="C7" s="13" t="s">
        <v>30</v>
      </c>
      <c r="D7" s="13" t="s">
        <v>31</v>
      </c>
      <c r="F7" s="14" t="s">
        <v>29</v>
      </c>
      <c r="G7" s="14" t="s">
        <v>30</v>
      </c>
      <c r="H7" s="14" t="s">
        <v>31</v>
      </c>
      <c r="K7" s="1" t="str">
        <f aca="false">Aux!B7</f>
        <v>[Agropecuária] AGR-02 – Valor da produção das lavouras por área colhida (R$/ha)</v>
      </c>
      <c r="L7" s="1" t="str">
        <f aca="false">'Indicadores (F-W)'!O7</f>
        <v>Força</v>
      </c>
      <c r="M7" s="88" t="n">
        <f aca="false">IF('Indicadores (F-W)'!N7="","",'Indicadores (F-W)'!N7)</f>
        <v>19926.55</v>
      </c>
      <c r="N7" s="1" t="n">
        <f aca="false">IF(L7="Força",COUNTIF(L$6:L7,"Força"),"")</f>
        <v>1</v>
      </c>
      <c r="O7" s="1" t="str">
        <f aca="false">IF(L7="Fraqueza",COUNTIF(L$6:L7,"Fraqueza"),"")</f>
        <v/>
      </c>
      <c r="Q7" s="1" t="str">
        <f aca="false">Aux!I7</f>
        <v>[Agropecuária] OP-02 – Mercados para produtos diferenciados e certificados (carne sustentável/orgânica, origem Pantanal)</v>
      </c>
      <c r="R7" s="1" t="str">
        <f aca="false">Aux!J7</f>
        <v>Oportunidade</v>
      </c>
      <c r="S7" s="1" t="n">
        <f aca="false">IF('Fatores Externos (O-A)'!F7="","",'Fatores Externos (O-A)'!F7)</f>
        <v>3</v>
      </c>
      <c r="T7" s="1" t="n">
        <f aca="false">IF(AND(R7="Oportunidade",ISNUMBER(S7)),IF(S7&gt;=Parâmetros!$B$5,1,0),0)</f>
        <v>1</v>
      </c>
      <c r="U7" s="1" t="n">
        <f aca="false">IF(T7=1,SUM(T$6:T7),"")</f>
        <v>1</v>
      </c>
      <c r="V7" s="1" t="n">
        <f aca="false">IF(AND(R7="Ameaça",ISNUMBER(S7)),IF(S7&gt;=Parâmetros!$B$5,1,0),0)</f>
        <v>0</v>
      </c>
      <c r="W7" s="1" t="str">
        <f aca="false">IF(V7=1,SUM(V$6:V7),"")</f>
        <v/>
      </c>
    </row>
    <row r="8" customFormat="false" ht="30" hidden="false" customHeight="true" outlineLevel="0" collapsed="false">
      <c r="A8" s="15" t="s">
        <v>32</v>
      </c>
      <c r="B8" s="16" t="n">
        <f aca="false">IF(C8="","",1)</f>
        <v>1</v>
      </c>
      <c r="C8" s="17" t="str">
        <f aca="false">IFERROR(INDEX($K$6:$K$21,MATCH(1,$N$6:$N$21,0)),"")</f>
        <v>[Agropecuária] AGR-02 – Valor da produção das lavouras por área colhida (R$/ha)</v>
      </c>
      <c r="D8" s="18" t="n">
        <f aca="false">IFERROR(INDEX($M$6:$M$21,MATCH(1,$N$6:$N$21,0)),"")</f>
        <v>19926.55</v>
      </c>
      <c r="F8" s="19" t="n">
        <f aca="false">IF(G8="","",1)</f>
        <v>1</v>
      </c>
      <c r="G8" s="20" t="str">
        <f aca="false">IFERROR(INDEX($K$6:$K$21,MATCH(1,$O$6:$O$21,0)),"")</f>
        <v>[Indústria] IND-01 – Quociente locacional do VAB industrial (base MT) (índice)</v>
      </c>
      <c r="H8" s="21" t="n">
        <f aca="false">IFERROR(INDEX($M$6:$M$21,MATCH(1,$O$6:$O$21,0)),"")</f>
        <v>0.169</v>
      </c>
      <c r="K8" s="1" t="str">
        <f aca="false">Aux!B8</f>
        <v>[Agropecuária] AGR-03 – Variação do efetivo bovino em 5 anos (%)</v>
      </c>
      <c r="L8" s="1" t="str">
        <f aca="false">'Indicadores (F-W)'!O8</f>
        <v>Força</v>
      </c>
      <c r="M8" s="88" t="n">
        <f aca="false">IF('Indicadores (F-W)'!N8="","",'Indicadores (F-W)'!N8)</f>
        <v>16.6</v>
      </c>
      <c r="N8" s="1" t="n">
        <f aca="false">IF(L8="Força",COUNTIF(L$6:L8,"Força"),"")</f>
        <v>2</v>
      </c>
      <c r="O8" s="1" t="str">
        <f aca="false">IF(L8="Fraqueza",COUNTIF(L$6:L8,"Fraqueza"),"")</f>
        <v/>
      </c>
      <c r="Q8" s="1" t="str">
        <f aca="false">Aux!I8</f>
        <v>[Comércio e Serviços] OP-03 – Expansão do turismo de natureza, pesca esportiva e ecoturismo</v>
      </c>
      <c r="R8" s="1" t="str">
        <f aca="false">Aux!J8</f>
        <v>Oportunidade</v>
      </c>
      <c r="S8" s="1" t="n">
        <f aca="false">IF('Fatores Externos (O-A)'!F8="","",'Fatores Externos (O-A)'!F8)</f>
        <v>3</v>
      </c>
      <c r="T8" s="1" t="n">
        <f aca="false">IF(AND(R8="Oportunidade",ISNUMBER(S8)),IF(S8&gt;=Parâmetros!$B$5,1,0),0)</f>
        <v>1</v>
      </c>
      <c r="U8" s="1" t="n">
        <f aca="false">IF(T8=1,SUM(T$6:T8),"")</f>
        <v>2</v>
      </c>
      <c r="V8" s="1" t="n">
        <f aca="false">IF(AND(R8="Ameaça",ISNUMBER(S8)),IF(S8&gt;=Parâmetros!$B$5,1,0),0)</f>
        <v>0</v>
      </c>
      <c r="W8" s="1" t="str">
        <f aca="false">IF(V8=1,SUM(V$6:V8),"")</f>
        <v/>
      </c>
    </row>
    <row r="9" customFormat="false" ht="30" hidden="false" customHeight="true" outlineLevel="0" collapsed="false">
      <c r="A9" s="15"/>
      <c r="B9" s="16" t="n">
        <f aca="false">IF(C9="","",2)</f>
        <v>2</v>
      </c>
      <c r="C9" s="17" t="str">
        <f aca="false">IFERROR(INDEX($K$6:$K$21,MATCH(2,$N$6:$N$21,0)),"")</f>
        <v>[Agropecuária] AGR-03 – Variação do efetivo bovino em 5 anos (%)</v>
      </c>
      <c r="D9" s="18" t="n">
        <f aca="false">IFERROR(INDEX($M$6:$M$21,MATCH(2,$N$6:$N$21,0)),"")</f>
        <v>16.6</v>
      </c>
      <c r="F9" s="19" t="n">
        <f aca="false">IF(G9="","",2)</f>
        <v>2</v>
      </c>
      <c r="G9" s="20" t="str">
        <f aca="false">IFERROR(INDEX($K$6:$K$21,MATCH(2,$O$6:$O$21,0)),"")</f>
        <v>[Indústria] IND-03 – Remuneração média do emprego formal industrial (R$)</v>
      </c>
      <c r="H9" s="21" t="n">
        <f aca="false">IFERROR(INDEX($M$6:$M$21,MATCH(2,$O$6:$O$21,0)),"")</f>
        <v>2624.01</v>
      </c>
      <c r="K9" s="1" t="str">
        <f aca="false">Aux!B9</f>
        <v>[Agropecuária] AGR-04 – Estabelecimentos agropecuários que receberam assistência técnica (%)</v>
      </c>
      <c r="L9" s="1" t="str">
        <f aca="false">'Indicadores (F-W)'!O9</f>
        <v/>
      </c>
      <c r="M9" s="1" t="str">
        <f aca="false">IF('Indicadores (F-W)'!N9="","",'Indicadores (F-W)'!N9)</f>
        <v/>
      </c>
      <c r="N9" s="1" t="str">
        <f aca="false">IF(L9="Força",COUNTIF(L$6:L9,"Força"),"")</f>
        <v/>
      </c>
      <c r="O9" s="1" t="str">
        <f aca="false">IF(L9="Fraqueza",COUNTIF(L$6:L9,"Fraqueza"),"")</f>
        <v/>
      </c>
      <c r="Q9" s="1" t="str">
        <f aca="false">Aux!I9</f>
        <v>[Indústria] OP-04 – Agroindustrialização e verticalização (frigoríficos, laticínios, sucroenergético)</v>
      </c>
      <c r="R9" s="1" t="str">
        <f aca="false">Aux!J9</f>
        <v>Oportunidade</v>
      </c>
      <c r="S9" s="1" t="n">
        <f aca="false">IF('Fatores Externos (O-A)'!F9="","",'Fatores Externos (O-A)'!F9)</f>
        <v>0</v>
      </c>
      <c r="T9" s="1" t="n">
        <f aca="false">IF(AND(R9="Oportunidade",ISNUMBER(S9)),IF(S9&gt;=Parâmetros!$B$5,1,0),0)</f>
        <v>0</v>
      </c>
      <c r="U9" s="1" t="str">
        <f aca="false">IF(T9=1,SUM(T$6:T9),"")</f>
        <v/>
      </c>
      <c r="V9" s="1" t="n">
        <f aca="false">IF(AND(R9="Ameaça",ISNUMBER(S9)),IF(S9&gt;=Parâmetros!$B$5,1,0),0)</f>
        <v>0</v>
      </c>
      <c r="W9" s="1" t="str">
        <f aca="false">IF(V9=1,SUM(V$6:V9),"")</f>
        <v/>
      </c>
    </row>
    <row r="10" customFormat="false" ht="30" hidden="false" customHeight="true" outlineLevel="0" collapsed="false">
      <c r="A10" s="15"/>
      <c r="B10" s="16" t="n">
        <f aca="false">IF(C10="","",3)</f>
        <v>3</v>
      </c>
      <c r="C10" s="17" t="str">
        <f aca="false">IFERROR(INDEX($K$6:$K$21,MATCH(3,$N$6:$N$21,0)),"")</f>
        <v>[Indústria] IND-02 – Variação do emprego formal na indústria em 5 anos (%)</v>
      </c>
      <c r="D10" s="18" t="n">
        <f aca="false">IFERROR(INDEX($M$6:$M$21,MATCH(3,$N$6:$N$21,0)),"")</f>
        <v>2299.57</v>
      </c>
      <c r="F10" s="19" t="n">
        <f aca="false">IF(G10="","",3)</f>
        <v>3</v>
      </c>
      <c r="G10" s="20" t="str">
        <f aca="false">IFERROR(INDEX($K$6:$K$21,MATCH(3,$O$6:$O$21,0)),"")</f>
        <v>[Comércio e Serviços] CS-01 – Quociente locacional do VAB de serviços, exceto adm. pública (base MT) (índice)</v>
      </c>
      <c r="H10" s="21" t="n">
        <f aca="false">IFERROR(INDEX($M$6:$M$21,MATCH(3,$O$6:$O$21,0)),"")</f>
        <v>0.4274</v>
      </c>
      <c r="K10" s="1" t="str">
        <f aca="false">Aux!B10</f>
        <v>[Agropecuária] AGR-05 – Diversificação agrícola (1 − HHI do valor da produção das lavouras) (índice 0–1)</v>
      </c>
      <c r="L10" s="1" t="str">
        <f aca="false">'Indicadores (F-W)'!O10</f>
        <v/>
      </c>
      <c r="M10" s="1" t="str">
        <f aca="false">IF('Indicadores (F-W)'!N10="","",'Indicadores (F-W)'!N10)</f>
        <v/>
      </c>
      <c r="N10" s="1" t="str">
        <f aca="false">IF(L10="Força",COUNTIF(L$6:L10,"Força"),"")</f>
        <v/>
      </c>
      <c r="O10" s="1" t="str">
        <f aca="false">IF(L10="Fraqueza",COUNTIF(L$6:L10,"Fraqueza"),"")</f>
        <v/>
      </c>
      <c r="Q10" s="1" t="str">
        <f aca="false">Aux!I10</f>
        <v>[Estrutura Econômica e Fiscal] OP-05 – Corredores logísticos (rodovias federais, ferrovia, hidrovia do Paraguai)</v>
      </c>
      <c r="R10" s="1" t="str">
        <f aca="false">Aux!J10</f>
        <v>Oportunidade</v>
      </c>
      <c r="S10" s="1" t="n">
        <f aca="false">IF('Fatores Externos (O-A)'!F10="","",'Fatores Externos (O-A)'!F10)</f>
        <v>1</v>
      </c>
      <c r="T10" s="1" t="n">
        <f aca="false">IF(AND(R10="Oportunidade",ISNUMBER(S10)),IF(S10&gt;=Parâmetros!$B$5,1,0),0)</f>
        <v>0</v>
      </c>
      <c r="U10" s="1" t="str">
        <f aca="false">IF(T10=1,SUM(T$6:T10),"")</f>
        <v/>
      </c>
      <c r="V10" s="1" t="n">
        <f aca="false">IF(AND(R10="Ameaça",ISNUMBER(S10)),IF(S10&gt;=Parâmetros!$B$5,1,0),0)</f>
        <v>0</v>
      </c>
      <c r="W10" s="1" t="str">
        <f aca="false">IF(V10=1,SUM(V$6:V10),"")</f>
        <v/>
      </c>
    </row>
    <row r="11" customFormat="false" ht="30" hidden="false" customHeight="true" outlineLevel="0" collapsed="false">
      <c r="A11" s="15"/>
      <c r="B11" s="16" t="str">
        <f aca="false">IF(C11="","",4)</f>
        <v/>
      </c>
      <c r="C11" s="17" t="str">
        <f aca="false">IFERROR(INDEX($K$6:$K$21,MATCH(4,$N$6:$N$21,0)),"")</f>
        <v/>
      </c>
      <c r="D11" s="18" t="str">
        <f aca="false">IFERROR(INDEX($M$6:$M$21,MATCH(4,$N$6:$N$21,0)),"")</f>
        <v/>
      </c>
      <c r="F11" s="19" t="n">
        <f aca="false">IF(G11="","",4)</f>
        <v>4</v>
      </c>
      <c r="G11" s="20" t="str">
        <f aca="false">IFERROR(INDEX($K$6:$K$21,MATCH(4,$O$6:$O$21,0)),"")</f>
        <v>[Comércio e Serviços] CS-02 – Variação do emprego formal em comércio e serviços em 5 anos (%)</v>
      </c>
      <c r="H11" s="21" t="n">
        <f aca="false">IFERROR(INDEX($M$6:$M$21,MATCH(4,$O$6:$O$21,0)),"")</f>
        <v>28.79</v>
      </c>
      <c r="K11" s="1" t="str">
        <f aca="false">Aux!B11</f>
        <v>[Indústria] IND-01 – Quociente locacional do VAB industrial (base MT) (índice)</v>
      </c>
      <c r="L11" s="1" t="str">
        <f aca="false">'Indicadores (F-W)'!O11</f>
        <v>Fraqueza</v>
      </c>
      <c r="M11" s="87" t="n">
        <f aca="false">IF('Indicadores (F-W)'!N11="","",'Indicadores (F-W)'!N11)</f>
        <v>0.169</v>
      </c>
      <c r="N11" s="1" t="str">
        <f aca="false">IF(L11="Força",COUNTIF(L$6:L11,"Força"),"")</f>
        <v/>
      </c>
      <c r="O11" s="1" t="n">
        <f aca="false">IF(L11="Fraqueza",COUNTIF(L$6:L11,"Fraqueza"),"")</f>
        <v>1</v>
      </c>
      <c r="Q11" s="1" t="str">
        <f aca="false">Aux!I11</f>
        <v>[Estrutura Econômica e Fiscal] OP-06 – Instrumentos de fomento e financiamento (FCO, crédito rural, PSA, mercado de carbono)</v>
      </c>
      <c r="R11" s="1" t="str">
        <f aca="false">Aux!J11</f>
        <v>Oportunidade</v>
      </c>
      <c r="S11" s="1" t="n">
        <f aca="false">IF('Fatores Externos (O-A)'!F11="","",'Fatores Externos (O-A)'!F11)</f>
        <v>2</v>
      </c>
      <c r="T11" s="1" t="n">
        <f aca="false">IF(AND(R11="Oportunidade",ISNUMBER(S11)),IF(S11&gt;=Parâmetros!$B$5,1,0),0)</f>
        <v>1</v>
      </c>
      <c r="U11" s="1" t="n">
        <f aca="false">IF(T11=1,SUM(T$6:T11),"")</f>
        <v>3</v>
      </c>
      <c r="V11" s="1" t="n">
        <f aca="false">IF(AND(R11="Ameaça",ISNUMBER(S11)),IF(S11&gt;=Parâmetros!$B$5,1,0),0)</f>
        <v>0</v>
      </c>
      <c r="W11" s="1" t="str">
        <f aca="false">IF(V11=1,SUM(V$6:V11),"")</f>
        <v/>
      </c>
    </row>
    <row r="12" customFormat="false" ht="30" hidden="false" customHeight="true" outlineLevel="0" collapsed="false">
      <c r="A12" s="15"/>
      <c r="B12" s="16" t="str">
        <f aca="false">IF(C12="","",5)</f>
        <v/>
      </c>
      <c r="C12" s="17" t="str">
        <f aca="false">IFERROR(INDEX($K$6:$K$21,MATCH(5,$N$6:$N$21,0)),"")</f>
        <v/>
      </c>
      <c r="D12" s="18" t="str">
        <f aca="false">IFERROR(INDEX($M$6:$M$21,MATCH(5,$N$6:$N$21,0)),"")</f>
        <v/>
      </c>
      <c r="F12" s="19" t="n">
        <f aca="false">IF(G12="","",5)</f>
        <v>5</v>
      </c>
      <c r="G12" s="20" t="str">
        <f aca="false">IFERROR(INDEX($K$6:$K$21,MATCH(5,$O$6:$O$21,0)),"")</f>
        <v>[Comércio e Serviços] CS-03 – Empresas e outras organizações ativas por mil habitantes (un./mil hab.)</v>
      </c>
      <c r="H12" s="21" t="n">
        <f aca="false">IFERROR(INDEX($M$6:$M$21,MATCH(5,$O$6:$O$21,0)),"")</f>
        <v>9.06</v>
      </c>
      <c r="K12" s="1" t="str">
        <f aca="false">Aux!B12</f>
        <v>[Indústria] IND-02 – Variação do emprego formal na indústria em 5 anos (%)</v>
      </c>
      <c r="L12" s="1" t="str">
        <f aca="false">'Indicadores (F-W)'!O12</f>
        <v>Força</v>
      </c>
      <c r="M12" s="88" t="n">
        <f aca="false">IF('Indicadores (F-W)'!N12="","",'Indicadores (F-W)'!N12)</f>
        <v>2299.57</v>
      </c>
      <c r="N12" s="1" t="n">
        <f aca="false">IF(L12="Força",COUNTIF(L$6:L12,"Força"),"")</f>
        <v>3</v>
      </c>
      <c r="O12" s="1" t="str">
        <f aca="false">IF(L12="Fraqueza",COUNTIF(L$6:L12,"Fraqueza"),"")</f>
        <v/>
      </c>
      <c r="Q12" s="1" t="str">
        <f aca="false">Aux!I12</f>
        <v>[Agropecuária] AM-01 – Eventos climáticos extremos: secas prolongadas e incêndios no Pantanal</v>
      </c>
      <c r="R12" s="1" t="str">
        <f aca="false">Aux!J12</f>
        <v>Ameaça</v>
      </c>
      <c r="S12" s="1" t="n">
        <f aca="false">IF('Fatores Externos (O-A)'!F12="","",'Fatores Externos (O-A)'!F12)</f>
        <v>3</v>
      </c>
      <c r="T12" s="1" t="n">
        <f aca="false">IF(AND(R12="Oportunidade",ISNUMBER(S12)),IF(S12&gt;=Parâmetros!$B$5,1,0),0)</f>
        <v>0</v>
      </c>
      <c r="U12" s="1" t="str">
        <f aca="false">IF(T12=1,SUM(T$6:T12),"")</f>
        <v/>
      </c>
      <c r="V12" s="1" t="n">
        <f aca="false">IF(AND(R12="Ameaça",ISNUMBER(S12)),IF(S12&gt;=Parâmetros!$B$5,1,0),0)</f>
        <v>1</v>
      </c>
      <c r="W12" s="1" t="n">
        <f aca="false">IF(V12=1,SUM(V$6:V12),"")</f>
        <v>1</v>
      </c>
    </row>
    <row r="13" customFormat="false" ht="30" hidden="false" customHeight="true" outlineLevel="0" collapsed="false">
      <c r="A13" s="15"/>
      <c r="B13" s="16" t="str">
        <f aca="false">IF(C13="","",6)</f>
        <v/>
      </c>
      <c r="C13" s="17" t="str">
        <f aca="false">IFERROR(INDEX($K$6:$K$21,MATCH(6,$N$6:$N$21,0)),"")</f>
        <v/>
      </c>
      <c r="D13" s="18" t="str">
        <f aca="false">IFERROR(INDEX($M$6:$M$21,MATCH(6,$N$6:$N$21,0)),"")</f>
        <v/>
      </c>
      <c r="F13" s="19" t="n">
        <f aca="false">IF(G13="","",6)</f>
        <v>6</v>
      </c>
      <c r="G13" s="20" t="str">
        <f aca="false">IFERROR(INDEX($K$6:$K$21,MATCH(6,$O$6:$O$21,0)),"")</f>
        <v>[Estrutura Econômica e Fiscal] EST-01 – PIB per capita (R$)</v>
      </c>
      <c r="H13" s="21" t="n">
        <f aca="false">IFERROR(INDEX($M$6:$M$21,MATCH(6,$O$6:$O$21,0)),"")</f>
        <v>19806.58</v>
      </c>
      <c r="K13" s="1" t="str">
        <f aca="false">Aux!B13</f>
        <v>[Indústria] IND-03 – Remuneração média do emprego formal industrial (R$)</v>
      </c>
      <c r="L13" s="1" t="str">
        <f aca="false">'Indicadores (F-W)'!O13</f>
        <v>Fraqueza</v>
      </c>
      <c r="M13" s="88" t="n">
        <f aca="false">IF('Indicadores (F-W)'!N13="","",'Indicadores (F-W)'!N13)</f>
        <v>2624.01</v>
      </c>
      <c r="N13" s="1" t="str">
        <f aca="false">IF(L13="Força",COUNTIF(L$6:L13,"Força"),"")</f>
        <v/>
      </c>
      <c r="O13" s="1" t="n">
        <f aca="false">IF(L13="Fraqueza",COUNTIF(L$6:L13,"Fraqueza"),"")</f>
        <v>2</v>
      </c>
      <c r="Q13" s="1" t="str">
        <f aca="false">Aux!I13</f>
        <v>[Agropecuária] AM-02 – Volatilidade de preços de commodities (boi gordo, soja, milho)</v>
      </c>
      <c r="R13" s="1" t="str">
        <f aca="false">Aux!J13</f>
        <v>Ameaça</v>
      </c>
      <c r="S13" s="1" t="n">
        <f aca="false">IF('Fatores Externos (O-A)'!F13="","",'Fatores Externos (O-A)'!F13)</f>
        <v>2</v>
      </c>
      <c r="T13" s="1" t="n">
        <f aca="false">IF(AND(R13="Oportunidade",ISNUMBER(S13)),IF(S13&gt;=Parâmetros!$B$5,1,0),0)</f>
        <v>0</v>
      </c>
      <c r="U13" s="1" t="str">
        <f aca="false">IF(T13=1,SUM(T$6:T13),"")</f>
        <v/>
      </c>
      <c r="V13" s="1" t="n">
        <f aca="false">IF(AND(R13="Ameaça",ISNUMBER(S13)),IF(S13&gt;=Parâmetros!$B$5,1,0),0)</f>
        <v>1</v>
      </c>
      <c r="W13" s="1" t="n">
        <f aca="false">IF(V13=1,SUM(V$6:V13),"")</f>
        <v>2</v>
      </c>
    </row>
    <row r="14" customFormat="false" ht="30" hidden="false" customHeight="true" outlineLevel="0" collapsed="false">
      <c r="A14" s="15"/>
      <c r="B14" s="16" t="str">
        <f aca="false">IF(C14="","",7)</f>
        <v/>
      </c>
      <c r="C14" s="17" t="str">
        <f aca="false">IFERROR(INDEX($K$6:$K$21,MATCH(7,$N$6:$N$21,0)),"")</f>
        <v/>
      </c>
      <c r="D14" s="18" t="str">
        <f aca="false">IFERROR(INDEX($M$6:$M$21,MATCH(7,$N$6:$N$21,0)),"")</f>
        <v/>
      </c>
      <c r="F14" s="19" t="n">
        <f aca="false">IF(G14="","",7)</f>
        <v>7</v>
      </c>
      <c r="G14" s="20" t="str">
        <f aca="false">IFERROR(INDEX($K$6:$K$21,MATCH(7,$O$6:$O$21,0)),"")</f>
        <v>[Estrutura Econômica e Fiscal] EST-02 – Participação da administração pública no VAB total (%)</v>
      </c>
      <c r="H14" s="21" t="n">
        <f aca="false">IFERROR(INDEX($M$6:$M$21,MATCH(7,$O$6:$O$21,0)),"")</f>
        <v>45.95</v>
      </c>
      <c r="K14" s="1" t="str">
        <f aca="false">Aux!B14</f>
        <v>[Comércio e Serviços] CS-01 – Quociente locacional do VAB de serviços, exceto adm. pública (base MT) (índice)</v>
      </c>
      <c r="L14" s="1" t="str">
        <f aca="false">'Indicadores (F-W)'!O14</f>
        <v>Fraqueza</v>
      </c>
      <c r="M14" s="87" t="n">
        <f aca="false">IF('Indicadores (F-W)'!N14="","",'Indicadores (F-W)'!N14)</f>
        <v>0.4274</v>
      </c>
      <c r="N14" s="1" t="str">
        <f aca="false">IF(L14="Força",COUNTIF(L$6:L14,"Força"),"")</f>
        <v/>
      </c>
      <c r="O14" s="1" t="n">
        <f aca="false">IF(L14="Fraqueza",COUNTIF(L$6:L14,"Fraqueza"),"")</f>
        <v>3</v>
      </c>
      <c r="Q14" s="1" t="str">
        <f aca="false">Aux!I14</f>
        <v>[Agropecuária] AM-03 – Exigências ambientais de mercados importadores e barreiras ligadas a desmatamento (ex.: EUDR)</v>
      </c>
      <c r="R14" s="1" t="str">
        <f aca="false">Aux!J14</f>
        <v>Ameaça</v>
      </c>
      <c r="S14" s="1" t="n">
        <f aca="false">IF('Fatores Externos (O-A)'!F14="","",'Fatores Externos (O-A)'!F14)</f>
        <v>2</v>
      </c>
      <c r="T14" s="1" t="n">
        <f aca="false">IF(AND(R14="Oportunidade",ISNUMBER(S14)),IF(S14&gt;=Parâmetros!$B$5,1,0),0)</f>
        <v>0</v>
      </c>
      <c r="U14" s="1" t="str">
        <f aca="false">IF(T14=1,SUM(T$6:T14),"")</f>
        <v/>
      </c>
      <c r="V14" s="1" t="n">
        <f aca="false">IF(AND(R14="Ameaça",ISNUMBER(S14)),IF(S14&gt;=Parâmetros!$B$5,1,0),0)</f>
        <v>1</v>
      </c>
      <c r="W14" s="1" t="n">
        <f aca="false">IF(V14=1,SUM(V$6:V14),"")</f>
        <v>3</v>
      </c>
    </row>
    <row r="15" customFormat="false" ht="30" hidden="false" customHeight="true" outlineLevel="0" collapsed="false">
      <c r="A15" s="15"/>
      <c r="B15" s="16" t="str">
        <f aca="false">IF(C15="","",8)</f>
        <v/>
      </c>
      <c r="C15" s="17" t="str">
        <f aca="false">IFERROR(INDEX($K$6:$K$21,MATCH(8,$N$6:$N$21,0)),"")</f>
        <v/>
      </c>
      <c r="D15" s="18" t="str">
        <f aca="false">IFERROR(INDEX($M$6:$M$21,MATCH(8,$N$6:$N$21,0)),"")</f>
        <v/>
      </c>
      <c r="F15" s="19" t="n">
        <f aca="false">IF(G15="","",8)</f>
        <v>8</v>
      </c>
      <c r="G15" s="20" t="str">
        <f aca="false">IFERROR(INDEX($K$6:$K$21,MATCH(8,$O$6:$O$21,0)),"")</f>
        <v>[Estrutura Econômica e Fiscal] EST-03 – Vínculos formais por 100 habitantes (vínculos/100 hab.)</v>
      </c>
      <c r="H15" s="21" t="n">
        <f aca="false">IFERROR(INDEX($M$6:$M$21,MATCH(8,$O$6:$O$21,0)),"")</f>
        <v>8.4</v>
      </c>
      <c r="K15" s="1" t="str">
        <f aca="false">Aux!B15</f>
        <v>[Comércio e Serviços] CS-02 – Variação do emprego formal em comércio e serviços em 5 anos (%)</v>
      </c>
      <c r="L15" s="1" t="str">
        <f aca="false">'Indicadores (F-W)'!O15</f>
        <v>Fraqueza</v>
      </c>
      <c r="M15" s="88" t="n">
        <f aca="false">IF('Indicadores (F-W)'!N15="","",'Indicadores (F-W)'!N15)</f>
        <v>28.79</v>
      </c>
      <c r="N15" s="1" t="str">
        <f aca="false">IF(L15="Força",COUNTIF(L$6:L15,"Força"),"")</f>
        <v/>
      </c>
      <c r="O15" s="1" t="n">
        <f aca="false">IF(L15="Fraqueza",COUNTIF(L$6:L15,"Fraqueza"),"")</f>
        <v>4</v>
      </c>
      <c r="Q15" s="1" t="str">
        <f aca="false">Aux!I15</f>
        <v>[Estrutura Econômica e Fiscal] AM-04 – Transição da Reforma Tributária (IBS/CBS) e efeitos sobre a repartição de receitas municipais</v>
      </c>
      <c r="R15" s="1" t="str">
        <f aca="false">Aux!J15</f>
        <v>Ameaça</v>
      </c>
      <c r="S15" s="1" t="n">
        <f aca="false">IF('Fatores Externos (O-A)'!F15="","",'Fatores Externos (O-A)'!F15)</f>
        <v>1</v>
      </c>
      <c r="T15" s="1" t="n">
        <f aca="false">IF(AND(R15="Oportunidade",ISNUMBER(S15)),IF(S15&gt;=Parâmetros!$B$5,1,0),0)</f>
        <v>0</v>
      </c>
      <c r="U15" s="1" t="str">
        <f aca="false">IF(T15=1,SUM(T$6:T15),"")</f>
        <v/>
      </c>
      <c r="V15" s="1" t="n">
        <f aca="false">IF(AND(R15="Ameaça",ISNUMBER(S15)),IF(S15&gt;=Parâmetros!$B$5,1,0),0)</f>
        <v>0</v>
      </c>
      <c r="W15" s="1" t="str">
        <f aca="false">IF(V15=1,SUM(V$6:V15),"")</f>
        <v/>
      </c>
    </row>
    <row r="16" customFormat="false" ht="30" hidden="false" customHeight="true" outlineLevel="0" collapsed="false">
      <c r="A16" s="15"/>
      <c r="B16" s="16" t="str">
        <f aca="false">IF(C16="","",9)</f>
        <v/>
      </c>
      <c r="C16" s="17" t="str">
        <f aca="false">IFERROR(INDEX($K$6:$K$21,MATCH(9,$N$6:$N$21,0)),"")</f>
        <v/>
      </c>
      <c r="D16" s="18" t="str">
        <f aca="false">IFERROR(INDEX($M$6:$M$21,MATCH(9,$N$6:$N$21,0)),"")</f>
        <v/>
      </c>
      <c r="F16" s="19" t="n">
        <f aca="false">IF(G16="","",9)</f>
        <v>9</v>
      </c>
      <c r="G16" s="20" t="str">
        <f aca="false">IFERROR(INDEX($K$6:$K$21,MATCH(9,$O$6:$O$21,0)),"")</f>
        <v>[Estrutura Econômica e Fiscal] EST-04 – Concentração setorial do emprego formal (HHI por seção CNAE) (índice 0–1)</v>
      </c>
      <c r="H16" s="21" t="n">
        <f aca="false">IFERROR(INDEX($M$6:$M$21,MATCH(9,$O$6:$O$21,0)),"")</f>
        <v>0.2519</v>
      </c>
      <c r="K16" s="1" t="str">
        <f aca="false">Aux!B16</f>
        <v>[Comércio e Serviços] CS-03 – Empresas e outras organizações ativas por mil habitantes (un./mil hab.)</v>
      </c>
      <c r="L16" s="1" t="str">
        <f aca="false">'Indicadores (F-W)'!O16</f>
        <v>Fraqueza</v>
      </c>
      <c r="M16" s="88" t="n">
        <f aca="false">IF('Indicadores (F-W)'!N16="","",'Indicadores (F-W)'!N16)</f>
        <v>9.06</v>
      </c>
      <c r="N16" s="1" t="str">
        <f aca="false">IF(L16="Força",COUNTIF(L$6:L16,"Força"),"")</f>
        <v/>
      </c>
      <c r="O16" s="1" t="n">
        <f aca="false">IF(L16="Fraqueza",COUNTIF(L$6:L16,"Fraqueza"),"")</f>
        <v>5</v>
      </c>
      <c r="Q16" s="1" t="str">
        <f aca="false">Aux!I16</f>
        <v>[Comércio e Serviços] AM-05 – Polarização regional por centros maiores (evasão de consumo, serviços e mão de obra)</v>
      </c>
      <c r="R16" s="1" t="str">
        <f aca="false">Aux!J16</f>
        <v>Ameaça</v>
      </c>
      <c r="S16" s="1" t="n">
        <f aca="false">IF('Fatores Externos (O-A)'!F16="","",'Fatores Externos (O-A)'!F16)</f>
        <v>3</v>
      </c>
      <c r="T16" s="1" t="n">
        <f aca="false">IF(AND(R16="Oportunidade",ISNUMBER(S16)),IF(S16&gt;=Parâmetros!$B$5,1,0),0)</f>
        <v>0</v>
      </c>
      <c r="U16" s="1" t="str">
        <f aca="false">IF(T16=1,SUM(T$6:T16),"")</f>
        <v/>
      </c>
      <c r="V16" s="1" t="n">
        <f aca="false">IF(AND(R16="Ameaça",ISNUMBER(S16)),IF(S16&gt;=Parâmetros!$B$5,1,0),0)</f>
        <v>1</v>
      </c>
      <c r="W16" s="1" t="n">
        <f aca="false">IF(V16=1,SUM(V$6:V16),"")</f>
        <v>4</v>
      </c>
    </row>
    <row r="17" customFormat="false" ht="30" hidden="false" customHeight="true" outlineLevel="0" collapsed="false">
      <c r="A17" s="15"/>
      <c r="B17" s="16" t="str">
        <f aca="false">IF(C17="","",10)</f>
        <v/>
      </c>
      <c r="C17" s="17" t="str">
        <f aca="false">IFERROR(INDEX($K$6:$K$21,MATCH(10,$N$6:$N$21,0)),"")</f>
        <v/>
      </c>
      <c r="D17" s="18" t="str">
        <f aca="false">IFERROR(INDEX($M$6:$M$21,MATCH(10,$N$6:$N$21,0)),"")</f>
        <v/>
      </c>
      <c r="F17" s="19" t="n">
        <f aca="false">IF(G17="","",10)</f>
        <v>10</v>
      </c>
      <c r="G17" s="20" t="str">
        <f aca="false">IFERROR(INDEX($K$6:$K$21,MATCH(10,$O$6:$O$21,0)),"")</f>
        <v>[Estrutura Econômica e Fiscal] EST-05 – Receitas próprias / receita corrente (%)</v>
      </c>
      <c r="H17" s="21" t="n">
        <f aca="false">IFERROR(INDEX($M$6:$M$21,MATCH(10,$O$6:$O$21,0)),"")</f>
        <v>6.34</v>
      </c>
      <c r="K17" s="1" t="str">
        <f aca="false">Aux!B17</f>
        <v>[Estrutura Econômica e Fiscal] EST-01 – PIB per capita (R$)</v>
      </c>
      <c r="L17" s="1" t="str">
        <f aca="false">'Indicadores (F-W)'!O17</f>
        <v>Fraqueza</v>
      </c>
      <c r="M17" s="89" t="n">
        <f aca="false">IF('Indicadores (F-W)'!N17="","",'Indicadores (F-W)'!N17)</f>
        <v>19806.58</v>
      </c>
      <c r="N17" s="1" t="str">
        <f aca="false">IF(L17="Força",COUNTIF(L$6:L17,"Força"),"")</f>
        <v/>
      </c>
      <c r="O17" s="1" t="n">
        <f aca="false">IF(L17="Fraqueza",COUNTIF(L$6:L17,"Fraqueza"),"")</f>
        <v>6</v>
      </c>
    </row>
    <row r="18" customFormat="false" ht="30" hidden="false" customHeight="true" outlineLevel="0" collapsed="false">
      <c r="A18" s="15"/>
      <c r="B18" s="16" t="str">
        <f aca="false">IF(C18="","",11)</f>
        <v/>
      </c>
      <c r="C18" s="17" t="str">
        <f aca="false">IFERROR(INDEX($K$6:$K$21,MATCH(11,$N$6:$N$21,0)),"")</f>
        <v/>
      </c>
      <c r="D18" s="18" t="str">
        <f aca="false">IFERROR(INDEX($M$6:$M$21,MATCH(11,$N$6:$N$21,0)),"")</f>
        <v/>
      </c>
      <c r="F18" s="19" t="str">
        <f aca="false">IF(G18="","",11)</f>
        <v/>
      </c>
      <c r="G18" s="20" t="str">
        <f aca="false">IFERROR(INDEX($K$6:$K$21,MATCH(11,$O$6:$O$21,0)),"")</f>
        <v/>
      </c>
      <c r="H18" s="21" t="str">
        <f aca="false">IFERROR(INDEX($M$6:$M$21,MATCH(11,$O$6:$O$21,0)),"")</f>
        <v/>
      </c>
      <c r="K18" s="1" t="str">
        <f aca="false">Aux!B18</f>
        <v>[Estrutura Econômica e Fiscal] EST-02 – Participação da administração pública no VAB total (%)</v>
      </c>
      <c r="L18" s="1" t="str">
        <f aca="false">'Indicadores (F-W)'!O18</f>
        <v>Fraqueza</v>
      </c>
      <c r="M18" s="90" t="n">
        <f aca="false">IF('Indicadores (F-W)'!N18="","",'Indicadores (F-W)'!N18)</f>
        <v>45.95</v>
      </c>
      <c r="N18" s="1" t="str">
        <f aca="false">IF(L18="Força",COUNTIF(L$6:L18,"Força"),"")</f>
        <v/>
      </c>
      <c r="O18" s="1" t="n">
        <f aca="false">IF(L18="Fraqueza",COUNTIF(L$6:L18,"Fraqueza"),"")</f>
        <v>7</v>
      </c>
    </row>
    <row r="19" customFormat="false" ht="30" hidden="false" customHeight="true" outlineLevel="0" collapsed="false">
      <c r="A19" s="15"/>
      <c r="B19" s="16" t="str">
        <f aca="false">IF(C19="","",12)</f>
        <v/>
      </c>
      <c r="C19" s="17" t="str">
        <f aca="false">IFERROR(INDEX($K$6:$K$21,MATCH(12,$N$6:$N$21,0)),"")</f>
        <v/>
      </c>
      <c r="D19" s="18" t="str">
        <f aca="false">IFERROR(INDEX($M$6:$M$21,MATCH(12,$N$6:$N$21,0)),"")</f>
        <v/>
      </c>
      <c r="F19" s="19" t="str">
        <f aca="false">IF(G19="","",12)</f>
        <v/>
      </c>
      <c r="G19" s="20" t="str">
        <f aca="false">IFERROR(INDEX($K$6:$K$21,MATCH(12,$O$6:$O$21,0)),"")</f>
        <v/>
      </c>
      <c r="H19" s="21" t="str">
        <f aca="false">IFERROR(INDEX($M$6:$M$21,MATCH(12,$O$6:$O$21,0)),"")</f>
        <v/>
      </c>
      <c r="K19" s="1" t="str">
        <f aca="false">Aux!B19</f>
        <v>[Estrutura Econômica e Fiscal] EST-03 – Vínculos formais por 100 habitantes (vínculos/100 hab.)</v>
      </c>
      <c r="L19" s="1" t="str">
        <f aca="false">'Indicadores (F-W)'!O19</f>
        <v>Fraqueza</v>
      </c>
      <c r="M19" s="88" t="n">
        <f aca="false">IF('Indicadores (F-W)'!N19="","",'Indicadores (F-W)'!N19)</f>
        <v>8.4</v>
      </c>
      <c r="N19" s="1" t="str">
        <f aca="false">IF(L19="Força",COUNTIF(L$6:L19,"Força"),"")</f>
        <v/>
      </c>
      <c r="O19" s="1" t="n">
        <f aca="false">IF(L19="Fraqueza",COUNTIF(L$6:L19,"Fraqueza"),"")</f>
        <v>8</v>
      </c>
    </row>
    <row r="20" customFormat="false" ht="15" hidden="false" customHeight="true" outlineLevel="0" collapsed="false">
      <c r="C20" s="22" t="str">
        <f aca="false">IF(COUNTIF($L$6:$L$21,"Força")&gt;12,"+ "&amp;(COUNTIF($L$6:$L$21,"Força")-12)&amp;" item(ns) não exibido(s)","")</f>
        <v/>
      </c>
      <c r="G20" s="22" t="str">
        <f aca="false">IF(COUNTIF($L$6:$L$21,"Fraqueza")&gt;12,"+ "&amp;(COUNTIF($L$6:$L$21,"Fraqueza")-12)&amp;" item(ns) não exibido(s)","")</f>
        <v/>
      </c>
      <c r="K20" s="1" t="str">
        <f aca="false">Aux!B20</f>
        <v>[Estrutura Econômica e Fiscal] EST-04 – Concentração setorial do emprego formal (HHI por seção CNAE) (índice 0–1)</v>
      </c>
      <c r="L20" s="1" t="str">
        <f aca="false">'Indicadores (F-W)'!O20</f>
        <v>Fraqueza</v>
      </c>
      <c r="M20" s="93" t="n">
        <f aca="false">IF('Indicadores (F-W)'!N20="","",'Indicadores (F-W)'!N20)</f>
        <v>0.2519</v>
      </c>
      <c r="N20" s="1" t="str">
        <f aca="false">IF(L20="Força",COUNTIF(L$6:L20,"Força"),"")</f>
        <v/>
      </c>
      <c r="O20" s="1" t="n">
        <f aca="false">IF(L20="Fraqueza",COUNTIF(L$6:L20,"Fraqueza"),"")</f>
        <v>9</v>
      </c>
    </row>
    <row r="21" customFormat="false" ht="15" hidden="false" customHeight="true" outlineLevel="0" collapsed="false">
      <c r="K21" s="1" t="str">
        <f aca="false">Aux!B21</f>
        <v>[Estrutura Econômica e Fiscal] EST-05 – Receitas próprias / receita corrente (%)</v>
      </c>
      <c r="L21" s="1" t="str">
        <f aca="false">'Indicadores (F-W)'!O21</f>
        <v>Fraqueza</v>
      </c>
      <c r="M21" s="88" t="n">
        <f aca="false">IF('Indicadores (F-W)'!N21="","",'Indicadores (F-W)'!N21)</f>
        <v>6.34</v>
      </c>
      <c r="N21" s="1" t="str">
        <f aca="false">IF(L21="Força",COUNTIF(L$6:L21,"Força"),"")</f>
        <v/>
      </c>
      <c r="O21" s="1" t="n">
        <f aca="false">IF(L21="Fraqueza",COUNTIF(L$6:L21,"Fraqueza"),"")</f>
        <v>10</v>
      </c>
    </row>
    <row r="22" customFormat="false" ht="15" hidden="false" customHeight="true" outlineLevel="0" collapsed="false">
      <c r="B22" s="23" t="str">
        <f aca="false">"OPORTUNIDADES (O) — "&amp;SUM($T$6:$T$16)&amp;" item(ns)"</f>
        <v>OPORTUNIDADES (O) — 3 item(ns)</v>
      </c>
      <c r="C22" s="23"/>
      <c r="D22" s="23"/>
      <c r="F22" s="24" t="str">
        <f aca="false">"AMEAÇAS (T) — "&amp;SUM($V$6:$V$16)&amp;" item(ns)"</f>
        <v>AMEAÇAS (T) — 4 item(ns)</v>
      </c>
      <c r="G22" s="24"/>
      <c r="H22" s="24"/>
    </row>
    <row r="23" customFormat="false" ht="15" hidden="false" customHeight="true" outlineLevel="0" collapsed="false">
      <c r="B23" s="25" t="s">
        <v>29</v>
      </c>
      <c r="C23" s="25" t="s">
        <v>30</v>
      </c>
      <c r="D23" s="25" t="s">
        <v>33</v>
      </c>
      <c r="F23" s="26" t="s">
        <v>29</v>
      </c>
      <c r="G23" s="26" t="s">
        <v>30</v>
      </c>
      <c r="H23" s="26" t="s">
        <v>33</v>
      </c>
    </row>
    <row r="24" customFormat="false" ht="30" hidden="false" customHeight="true" outlineLevel="0" collapsed="false">
      <c r="A24" s="15" t="s">
        <v>34</v>
      </c>
      <c r="B24" s="27" t="n">
        <f aca="false">IF(C24="","",1)</f>
        <v>1</v>
      </c>
      <c r="C24" s="28" t="str">
        <f aca="false">IFERROR(INDEX($Q$6:$Q$16,MATCH(1,$U$6:$U$16,0)),"")</f>
        <v>[Agropecuária] OP-02 – Mercados para produtos diferenciados e certificados (carne sustentável/orgânica, origem Pantanal)</v>
      </c>
      <c r="D24" s="29" t="n">
        <f aca="false">IFERROR(INDEX($S$6:$S$16,MATCH(1,$U$6:$U$16,0)),"")</f>
        <v>3</v>
      </c>
      <c r="F24" s="30" t="n">
        <f aca="false">IF(G24="","",1)</f>
        <v>1</v>
      </c>
      <c r="G24" s="31" t="str">
        <f aca="false">IFERROR(INDEX($Q$6:$Q$16,MATCH(1,$W$6:$W$16,0)),"")</f>
        <v>[Agropecuária] AM-01 – Eventos climáticos extremos: secas prolongadas e incêndios no Pantanal</v>
      </c>
      <c r="H24" s="32" t="n">
        <f aca="false">IFERROR(INDEX($S$6:$S$16,MATCH(1,$W$6:$W$16,0)),"")</f>
        <v>3</v>
      </c>
    </row>
    <row r="25" customFormat="false" ht="30" hidden="false" customHeight="true" outlineLevel="0" collapsed="false">
      <c r="A25" s="15"/>
      <c r="B25" s="27" t="n">
        <f aca="false">IF(C25="","",2)</f>
        <v>2</v>
      </c>
      <c r="C25" s="28" t="str">
        <f aca="false">IFERROR(INDEX($Q$6:$Q$16,MATCH(2,$U$6:$U$16,0)),"")</f>
        <v>[Comércio e Serviços] OP-03 – Expansão do turismo de natureza, pesca esportiva e ecoturismo</v>
      </c>
      <c r="D25" s="29" t="n">
        <f aca="false">IFERROR(INDEX($S$6:$S$16,MATCH(2,$U$6:$U$16,0)),"")</f>
        <v>3</v>
      </c>
      <c r="F25" s="30" t="n">
        <f aca="false">IF(G25="","",2)</f>
        <v>2</v>
      </c>
      <c r="G25" s="31" t="str">
        <f aca="false">IFERROR(INDEX($Q$6:$Q$16,MATCH(2,$W$6:$W$16,0)),"")</f>
        <v>[Agropecuária] AM-02 – Volatilidade de preços de commodities (boi gordo, soja, milho)</v>
      </c>
      <c r="H25" s="32" t="n">
        <f aca="false">IFERROR(INDEX($S$6:$S$16,MATCH(2,$W$6:$W$16,0)),"")</f>
        <v>2</v>
      </c>
    </row>
    <row r="26" customFormat="false" ht="30" hidden="false" customHeight="true" outlineLevel="0" collapsed="false">
      <c r="A26" s="15"/>
      <c r="B26" s="27" t="n">
        <f aca="false">IF(C26="","",3)</f>
        <v>3</v>
      </c>
      <c r="C26" s="28" t="str">
        <f aca="false">IFERROR(INDEX($Q$6:$Q$16,MATCH(3,$U$6:$U$16,0)),"")</f>
        <v>[Estrutura Econômica e Fiscal] OP-06 – Instrumentos de fomento e financiamento (FCO, crédito rural, PSA, mercado de carbono)</v>
      </c>
      <c r="D26" s="29" t="n">
        <f aca="false">IFERROR(INDEX($S$6:$S$16,MATCH(3,$U$6:$U$16,0)),"")</f>
        <v>2</v>
      </c>
      <c r="F26" s="30" t="n">
        <f aca="false">IF(G26="","",3)</f>
        <v>3</v>
      </c>
      <c r="G26" s="31" t="str">
        <f aca="false">IFERROR(INDEX($Q$6:$Q$16,MATCH(3,$W$6:$W$16,0)),"")</f>
        <v>[Agropecuária] AM-03 – Exigências ambientais de mercados importadores e barreiras ligadas a desmatamento (ex.: EUDR)</v>
      </c>
      <c r="H26" s="32" t="n">
        <f aca="false">IFERROR(INDEX($S$6:$S$16,MATCH(3,$W$6:$W$16,0)),"")</f>
        <v>2</v>
      </c>
    </row>
    <row r="27" customFormat="false" ht="30" hidden="false" customHeight="true" outlineLevel="0" collapsed="false">
      <c r="A27" s="15"/>
      <c r="B27" s="27" t="str">
        <f aca="false">IF(C27="","",4)</f>
        <v/>
      </c>
      <c r="C27" s="28" t="str">
        <f aca="false">IFERROR(INDEX($Q$6:$Q$16,MATCH(4,$U$6:$U$16,0)),"")</f>
        <v/>
      </c>
      <c r="D27" s="29" t="str">
        <f aca="false">IFERROR(INDEX($S$6:$S$16,MATCH(4,$U$6:$U$16,0)),"")</f>
        <v/>
      </c>
      <c r="F27" s="30" t="n">
        <f aca="false">IF(G27="","",4)</f>
        <v>4</v>
      </c>
      <c r="G27" s="31" t="str">
        <f aca="false">IFERROR(INDEX($Q$6:$Q$16,MATCH(4,$W$6:$W$16,0)),"")</f>
        <v>[Comércio e Serviços] AM-05 – Polarização regional por centros maiores (evasão de consumo, serviços e mão de obra)</v>
      </c>
      <c r="H27" s="32" t="n">
        <f aca="false">IFERROR(INDEX($S$6:$S$16,MATCH(4,$W$6:$W$16,0)),"")</f>
        <v>3</v>
      </c>
    </row>
    <row r="28" customFormat="false" ht="30" hidden="false" customHeight="true" outlineLevel="0" collapsed="false">
      <c r="A28" s="15"/>
      <c r="B28" s="27" t="str">
        <f aca="false">IF(C28="","",5)</f>
        <v/>
      </c>
      <c r="C28" s="28" t="str">
        <f aca="false">IFERROR(INDEX($Q$6:$Q$16,MATCH(5,$U$6:$U$16,0)),"")</f>
        <v/>
      </c>
      <c r="D28" s="29" t="str">
        <f aca="false">IFERROR(INDEX($S$6:$S$16,MATCH(5,$U$6:$U$16,0)),"")</f>
        <v/>
      </c>
      <c r="F28" s="30" t="str">
        <f aca="false">IF(G28="","",5)</f>
        <v/>
      </c>
      <c r="G28" s="31" t="str">
        <f aca="false">IFERROR(INDEX($Q$6:$Q$16,MATCH(5,$W$6:$W$16,0)),"")</f>
        <v/>
      </c>
      <c r="H28" s="32" t="str">
        <f aca="false">IFERROR(INDEX($S$6:$S$16,MATCH(5,$W$6:$W$16,0)),"")</f>
        <v/>
      </c>
    </row>
    <row r="29" customFormat="false" ht="30" hidden="false" customHeight="true" outlineLevel="0" collapsed="false">
      <c r="A29" s="15"/>
      <c r="B29" s="27" t="str">
        <f aca="false">IF(C29="","",6)</f>
        <v/>
      </c>
      <c r="C29" s="28" t="str">
        <f aca="false">IFERROR(INDEX($Q$6:$Q$16,MATCH(6,$U$6:$U$16,0)),"")</f>
        <v/>
      </c>
      <c r="D29" s="29" t="str">
        <f aca="false">IFERROR(INDEX($S$6:$S$16,MATCH(6,$U$6:$U$16,0)),"")</f>
        <v/>
      </c>
      <c r="F29" s="30" t="str">
        <f aca="false">IF(G29="","",6)</f>
        <v/>
      </c>
      <c r="G29" s="31" t="str">
        <f aca="false">IFERROR(INDEX($Q$6:$Q$16,MATCH(6,$W$6:$W$16,0)),"")</f>
        <v/>
      </c>
      <c r="H29" s="32" t="str">
        <f aca="false">IFERROR(INDEX($S$6:$S$16,MATCH(6,$W$6:$W$16,0)),"")</f>
        <v/>
      </c>
    </row>
    <row r="30" customFormat="false" ht="30" hidden="false" customHeight="true" outlineLevel="0" collapsed="false">
      <c r="A30" s="15"/>
      <c r="B30" s="27" t="str">
        <f aca="false">IF(C30="","",7)</f>
        <v/>
      </c>
      <c r="C30" s="28" t="str">
        <f aca="false">IFERROR(INDEX($Q$6:$Q$16,MATCH(7,$U$6:$U$16,0)),"")</f>
        <v/>
      </c>
      <c r="D30" s="29" t="str">
        <f aca="false">IFERROR(INDEX($S$6:$S$16,MATCH(7,$U$6:$U$16,0)),"")</f>
        <v/>
      </c>
      <c r="F30" s="30" t="str">
        <f aca="false">IF(G30="","",7)</f>
        <v/>
      </c>
      <c r="G30" s="31" t="str">
        <f aca="false">IFERROR(INDEX($Q$6:$Q$16,MATCH(7,$W$6:$W$16,0)),"")</f>
        <v/>
      </c>
      <c r="H30" s="32" t="str">
        <f aca="false">IFERROR(INDEX($S$6:$S$16,MATCH(7,$W$6:$W$16,0)),"")</f>
        <v/>
      </c>
    </row>
    <row r="31" customFormat="false" ht="30" hidden="false" customHeight="true" outlineLevel="0" collapsed="false">
      <c r="A31" s="15"/>
      <c r="B31" s="27" t="str">
        <f aca="false">IF(C31="","",8)</f>
        <v/>
      </c>
      <c r="C31" s="28" t="str">
        <f aca="false">IFERROR(INDEX($Q$6:$Q$16,MATCH(8,$U$6:$U$16,0)),"")</f>
        <v/>
      </c>
      <c r="D31" s="29" t="str">
        <f aca="false">IFERROR(INDEX($S$6:$S$16,MATCH(8,$U$6:$U$16,0)),"")</f>
        <v/>
      </c>
      <c r="F31" s="30" t="str">
        <f aca="false">IF(G31="","",8)</f>
        <v/>
      </c>
      <c r="G31" s="31" t="str">
        <f aca="false">IFERROR(INDEX($Q$6:$Q$16,MATCH(8,$W$6:$W$16,0)),"")</f>
        <v/>
      </c>
      <c r="H31" s="32" t="str">
        <f aca="false">IFERROR(INDEX($S$6:$S$16,MATCH(8,$W$6:$W$16,0)),"")</f>
        <v/>
      </c>
    </row>
    <row r="32" customFormat="false" ht="30" hidden="false" customHeight="true" outlineLevel="0" collapsed="false">
      <c r="A32" s="15"/>
      <c r="B32" s="27" t="str">
        <f aca="false">IF(C32="","",9)</f>
        <v/>
      </c>
      <c r="C32" s="28" t="str">
        <f aca="false">IFERROR(INDEX($Q$6:$Q$16,MATCH(9,$U$6:$U$16,0)),"")</f>
        <v/>
      </c>
      <c r="D32" s="29" t="str">
        <f aca="false">IFERROR(INDEX($S$6:$S$16,MATCH(9,$U$6:$U$16,0)),"")</f>
        <v/>
      </c>
      <c r="F32" s="30" t="str">
        <f aca="false">IF(G32="","",9)</f>
        <v/>
      </c>
      <c r="G32" s="31" t="str">
        <f aca="false">IFERROR(INDEX($Q$6:$Q$16,MATCH(9,$W$6:$W$16,0)),"")</f>
        <v/>
      </c>
      <c r="H32" s="32" t="str">
        <f aca="false">IFERROR(INDEX($S$6:$S$16,MATCH(9,$W$6:$W$16,0)),"")</f>
        <v/>
      </c>
    </row>
    <row r="33" customFormat="false" ht="30" hidden="false" customHeight="true" outlineLevel="0" collapsed="false">
      <c r="A33" s="15"/>
      <c r="B33" s="27" t="str">
        <f aca="false">IF(C33="","",10)</f>
        <v/>
      </c>
      <c r="C33" s="28" t="str">
        <f aca="false">IFERROR(INDEX($Q$6:$Q$16,MATCH(10,$U$6:$U$16,0)),"")</f>
        <v/>
      </c>
      <c r="D33" s="29" t="str">
        <f aca="false">IFERROR(INDEX($S$6:$S$16,MATCH(10,$U$6:$U$16,0)),"")</f>
        <v/>
      </c>
      <c r="F33" s="30" t="str">
        <f aca="false">IF(G33="","",10)</f>
        <v/>
      </c>
      <c r="G33" s="31" t="str">
        <f aca="false">IFERROR(INDEX($Q$6:$Q$16,MATCH(10,$W$6:$W$16,0)),"")</f>
        <v/>
      </c>
      <c r="H33" s="32" t="str">
        <f aca="false">IFERROR(INDEX($S$6:$S$16,MATCH(10,$W$6:$W$16,0)),"")</f>
        <v/>
      </c>
    </row>
    <row r="34" customFormat="false" ht="30" hidden="false" customHeight="true" outlineLevel="0" collapsed="false">
      <c r="A34" s="15"/>
      <c r="B34" s="27" t="str">
        <f aca="false">IF(C34="","",11)</f>
        <v/>
      </c>
      <c r="C34" s="28" t="str">
        <f aca="false">IFERROR(INDEX($Q$6:$Q$16,MATCH(11,$U$6:$U$16,0)),"")</f>
        <v/>
      </c>
      <c r="D34" s="29" t="str">
        <f aca="false">IFERROR(INDEX($S$6:$S$16,MATCH(11,$U$6:$U$16,0)),"")</f>
        <v/>
      </c>
      <c r="F34" s="30" t="str">
        <f aca="false">IF(G34="","",11)</f>
        <v/>
      </c>
      <c r="G34" s="31" t="str">
        <f aca="false">IFERROR(INDEX($Q$6:$Q$16,MATCH(11,$W$6:$W$16,0)),"")</f>
        <v/>
      </c>
      <c r="H34" s="32" t="str">
        <f aca="false">IFERROR(INDEX($S$6:$S$16,MATCH(11,$W$6:$W$16,0)),"")</f>
        <v/>
      </c>
    </row>
    <row r="35" customFormat="false" ht="30" hidden="false" customHeight="true" outlineLevel="0" collapsed="false">
      <c r="A35" s="15"/>
      <c r="B35" s="27" t="str">
        <f aca="false">IF(C35="","",12)</f>
        <v/>
      </c>
      <c r="C35" s="28" t="str">
        <f aca="false">IFERROR(INDEX($Q$6:$Q$16,MATCH(12,$U$6:$U$16,0)),"")</f>
        <v/>
      </c>
      <c r="D35" s="29" t="str">
        <f aca="false">IFERROR(INDEX($S$6:$S$16,MATCH(12,$U$6:$U$16,0)),"")</f>
        <v/>
      </c>
      <c r="F35" s="30" t="str">
        <f aca="false">IF(G35="","",12)</f>
        <v/>
      </c>
      <c r="G35" s="31" t="str">
        <f aca="false">IFERROR(INDEX($Q$6:$Q$16,MATCH(12,$W$6:$W$16,0)),"")</f>
        <v/>
      </c>
      <c r="H35" s="32" t="str">
        <f aca="false">IFERROR(INDEX($S$6:$S$16,MATCH(12,$W$6:$W$16,0)),"")</f>
        <v/>
      </c>
    </row>
    <row r="36" customFormat="false" ht="15" hidden="false" customHeight="true" outlineLevel="0" collapsed="false">
      <c r="C36" s="22" t="str">
        <f aca="false">IF(SUM($T$6:$T$16)&gt;12,"+ "&amp;(SUM($T$6:$T$16)-12)&amp;" item(ns) não exibido(s)","")</f>
        <v/>
      </c>
      <c r="G36" s="22" t="str">
        <f aca="false">IF(SUM($V$6:$V$16)&gt;12,"+ "&amp;(SUM($V$6:$V$16)-12)&amp;" item(ns) não exibido(s)","")</f>
        <v/>
      </c>
    </row>
    <row r="38" customFormat="false" ht="15" hidden="false" customHeight="true" outlineLevel="0" collapsed="false">
      <c r="B38" s="33" t="s">
        <v>329</v>
      </c>
    </row>
  </sheetData>
  <mergeCells count="8">
    <mergeCell ref="B5:D5"/>
    <mergeCell ref="F5:H5"/>
    <mergeCell ref="B6:D6"/>
    <mergeCell ref="F6:H6"/>
    <mergeCell ref="A8:A19"/>
    <mergeCell ref="B22:D22"/>
    <mergeCell ref="F22:H22"/>
    <mergeCell ref="A24:A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W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"/>
    <col collapsed="false" customWidth="true" hidden="false" outlineLevel="0" max="3" min="3" style="1" width="55"/>
    <col collapsed="false" customWidth="true" hidden="false" outlineLevel="0" max="4" min="4" style="1" width="12"/>
    <col collapsed="false" customWidth="true" hidden="false" outlineLevel="0" max="5" min="5" style="1" width="2"/>
    <col collapsed="false" customWidth="true" hidden="false" outlineLevel="0" max="6" min="6" style="1" width="5"/>
    <col collapsed="false" customWidth="true" hidden="false" outlineLevel="0" max="7" min="7" style="1" width="55"/>
    <col collapsed="false" customWidth="true" hidden="false" outlineLevel="0" max="8" min="8" style="1" width="12"/>
    <col collapsed="false" customWidth="true" hidden="true" outlineLevel="0" max="23" min="11" style="1" width="13"/>
  </cols>
  <sheetData>
    <row r="1" customFormat="false" ht="17.25" hidden="false" customHeight="true" outlineLevel="0" collapsed="false">
      <c r="B1" s="91" t="s">
        <v>330</v>
      </c>
    </row>
    <row r="2" customFormat="false" ht="15" hidden="false" customHeight="true" outlineLevel="0" collapsed="false">
      <c r="B2" s="9" t="s">
        <v>328</v>
      </c>
    </row>
    <row r="3" customFormat="false" ht="15" hidden="false" customHeight="true" outlineLevel="0" collapsed="false">
      <c r="B3" s="92" t="str">
        <f aca="false">"Indicadores internos com dado: "&amp;(COUNTA(L6:L21)-COUNTBLANK(L6:L21))&amp;" de 16  |  Neutros: "&amp;COUNTIF(L6:L21,"Neutro")&amp;"  |  Fatores externos pontuados: "&amp;COUNT(S6:S16)&amp;" de 11"</f>
        <v>Indicadores internos com dado: 14 de 16  |  Neutros: 3  |  Fatores externos pontuados: 11 de 11</v>
      </c>
    </row>
    <row r="5" customFormat="false" ht="15" hidden="false" customHeight="true" outlineLevel="0" collapsed="false">
      <c r="B5" s="10" t="s">
        <v>27</v>
      </c>
      <c r="C5" s="10"/>
      <c r="D5" s="10"/>
      <c r="F5" s="10" t="s">
        <v>28</v>
      </c>
      <c r="G5" s="10"/>
      <c r="H5" s="10"/>
    </row>
    <row r="6" customFormat="false" ht="15" hidden="false" customHeight="true" outlineLevel="0" collapsed="false">
      <c r="B6" s="11" t="str">
        <f aca="false">"FORÇAS (S) — "&amp;COUNTIF($L$6:$L$21,"Força")&amp;" item(ns)"</f>
        <v>FORÇAS (S) — 3 item(ns)</v>
      </c>
      <c r="C6" s="11"/>
      <c r="D6" s="11"/>
      <c r="F6" s="12" t="str">
        <f aca="false">"FRAQUEZAS (W) — "&amp;COUNTIF($L$6:$L$21,"Fraqueza")&amp;" item(ns)"</f>
        <v>FRAQUEZAS (W) — 8 item(ns)</v>
      </c>
      <c r="G6" s="12"/>
      <c r="H6" s="12"/>
      <c r="K6" s="1" t="str">
        <f aca="false">Aux!B6</f>
        <v>[Agropecuária] AGR-01 – Quociente locacional do VAB agropecuário (base MT) (índice)</v>
      </c>
      <c r="L6" s="1" t="str">
        <f aca="false">'Indicadores (F-W)'!Q6</f>
        <v>Fraqueza</v>
      </c>
      <c r="M6" s="87" t="n">
        <f aca="false">IF('Indicadores (F-W)'!P6="","",'Indicadores (F-W)'!P6)</f>
        <v>0.3713</v>
      </c>
      <c r="N6" s="1" t="str">
        <f aca="false">IF(L6="Força",COUNTIF(L$6:L6,"Força"),"")</f>
        <v/>
      </c>
      <c r="O6" s="1" t="n">
        <f aca="false">IF(L6="Fraqueza",COUNTIF(L$6:L6,"Fraqueza"),"")</f>
        <v>1</v>
      </c>
      <c r="Q6" s="1" t="str">
        <f aca="false">Aux!I6</f>
        <v>[Agropecuária] OP-01 – Demanda externa por carne bovina e proteína animal</v>
      </c>
      <c r="R6" s="1" t="str">
        <f aca="false">Aux!J6</f>
        <v>Oportunidade</v>
      </c>
      <c r="S6" s="1" t="n">
        <f aca="false">IF('Fatores Externos (O-A)'!G6="","",'Fatores Externos (O-A)'!G6)</f>
        <v>3</v>
      </c>
      <c r="T6" s="1" t="n">
        <f aca="false">IF(AND(R6="Oportunidade",ISNUMBER(S6)),IF(S6&gt;=Parâmetros!$B$5,1,0),0)</f>
        <v>1</v>
      </c>
      <c r="U6" s="1" t="n">
        <f aca="false">IF(T6=1,SUM(T$6:T6),"")</f>
        <v>1</v>
      </c>
      <c r="V6" s="1" t="n">
        <f aca="false">IF(AND(R6="Ameaça",ISNUMBER(S6)),IF(S6&gt;=Parâmetros!$B$5,1,0),0)</f>
        <v>0</v>
      </c>
      <c r="W6" s="1" t="str">
        <f aca="false">IF(V6=1,SUM(V$6:V6),"")</f>
        <v/>
      </c>
    </row>
    <row r="7" customFormat="false" ht="15" hidden="false" customHeight="true" outlineLevel="0" collapsed="false">
      <c r="B7" s="13" t="s">
        <v>29</v>
      </c>
      <c r="C7" s="13" t="s">
        <v>30</v>
      </c>
      <c r="D7" s="13" t="s">
        <v>31</v>
      </c>
      <c r="F7" s="14" t="s">
        <v>29</v>
      </c>
      <c r="G7" s="14" t="s">
        <v>30</v>
      </c>
      <c r="H7" s="14" t="s">
        <v>31</v>
      </c>
      <c r="K7" s="1" t="str">
        <f aca="false">Aux!B7</f>
        <v>[Agropecuária] AGR-02 – Valor da produção das lavouras por área colhida (R$/ha)</v>
      </c>
      <c r="L7" s="1" t="str">
        <f aca="false">'Indicadores (F-W)'!Q7</f>
        <v>Neutro</v>
      </c>
      <c r="M7" s="88" t="n">
        <f aca="false">IF('Indicadores (F-W)'!P7="","",'Indicadores (F-W)'!P7)</f>
        <v>5729.32</v>
      </c>
      <c r="N7" s="1" t="str">
        <f aca="false">IF(L7="Força",COUNTIF(L$6:L7,"Força"),"")</f>
        <v/>
      </c>
      <c r="O7" s="1" t="str">
        <f aca="false">IF(L7="Fraqueza",COUNTIF(L$6:L7,"Fraqueza"),"")</f>
        <v/>
      </c>
      <c r="Q7" s="1" t="str">
        <f aca="false">Aux!I7</f>
        <v>[Agropecuária] OP-02 – Mercados para produtos diferenciados e certificados (carne sustentável/orgânica, origem Pantanal)</v>
      </c>
      <c r="R7" s="1" t="str">
        <f aca="false">Aux!J7</f>
        <v>Oportunidade</v>
      </c>
      <c r="S7" s="1" t="n">
        <f aca="false">IF('Fatores Externos (O-A)'!G7="","",'Fatores Externos (O-A)'!G7)</f>
        <v>3</v>
      </c>
      <c r="T7" s="1" t="n">
        <f aca="false">IF(AND(R7="Oportunidade",ISNUMBER(S7)),IF(S7&gt;=Parâmetros!$B$5,1,0),0)</f>
        <v>1</v>
      </c>
      <c r="U7" s="1" t="n">
        <f aca="false">IF(T7=1,SUM(T$6:T7),"")</f>
        <v>2</v>
      </c>
      <c r="V7" s="1" t="n">
        <f aca="false">IF(AND(R7="Ameaça",ISNUMBER(S7)),IF(S7&gt;=Parâmetros!$B$5,1,0),0)</f>
        <v>0</v>
      </c>
      <c r="W7" s="1" t="str">
        <f aca="false">IF(V7=1,SUM(V$6:V7),"")</f>
        <v/>
      </c>
    </row>
    <row r="8" customFormat="false" ht="30" hidden="false" customHeight="true" outlineLevel="0" collapsed="false">
      <c r="A8" s="15" t="s">
        <v>32</v>
      </c>
      <c r="B8" s="16" t="n">
        <f aca="false">IF(C8="","",1)</f>
        <v>1</v>
      </c>
      <c r="C8" s="17" t="str">
        <f aca="false">IFERROR(INDEX($K$6:$K$21,MATCH(1,$N$6:$N$21,0)),"")</f>
        <v>[Agropecuária] AGR-03 – Variação do efetivo bovino em 5 anos (%)</v>
      </c>
      <c r="D8" s="18" t="n">
        <f aca="false">IFERROR(INDEX($M$6:$M$21,MATCH(1,$N$6:$N$21,0)),"")</f>
        <v>22.65</v>
      </c>
      <c r="F8" s="19" t="n">
        <f aca="false">IF(G8="","",1)</f>
        <v>1</v>
      </c>
      <c r="G8" s="20" t="str">
        <f aca="false">IFERROR(INDEX($K$6:$K$21,MATCH(1,$O$6:$O$21,0)),"")</f>
        <v>[Agropecuária] AGR-01 – Quociente locacional do VAB agropecuário (base MT) (índice)</v>
      </c>
      <c r="H8" s="21" t="n">
        <f aca="false">IFERROR(INDEX($M$6:$M$21,MATCH(1,$O$6:$O$21,0)),"")</f>
        <v>0.3713</v>
      </c>
      <c r="K8" s="1" t="str">
        <f aca="false">Aux!B8</f>
        <v>[Agropecuária] AGR-03 – Variação do efetivo bovino em 5 anos (%)</v>
      </c>
      <c r="L8" s="1" t="str">
        <f aca="false">'Indicadores (F-W)'!Q8</f>
        <v>Força</v>
      </c>
      <c r="M8" s="88" t="n">
        <f aca="false">IF('Indicadores (F-W)'!P8="","",'Indicadores (F-W)'!P8)</f>
        <v>22.65</v>
      </c>
      <c r="N8" s="1" t="n">
        <f aca="false">IF(L8="Força",COUNTIF(L$6:L8,"Força"),"")</f>
        <v>1</v>
      </c>
      <c r="O8" s="1" t="str">
        <f aca="false">IF(L8="Fraqueza",COUNTIF(L$6:L8,"Fraqueza"),"")</f>
        <v/>
      </c>
      <c r="Q8" s="1" t="str">
        <f aca="false">Aux!I8</f>
        <v>[Comércio e Serviços] OP-03 – Expansão do turismo de natureza, pesca esportiva e ecoturismo</v>
      </c>
      <c r="R8" s="1" t="str">
        <f aca="false">Aux!J8</f>
        <v>Oportunidade</v>
      </c>
      <c r="S8" s="1" t="n">
        <f aca="false">IF('Fatores Externos (O-A)'!G8="","",'Fatores Externos (O-A)'!G8)</f>
        <v>3</v>
      </c>
      <c r="T8" s="1" t="n">
        <f aca="false">IF(AND(R8="Oportunidade",ISNUMBER(S8)),IF(S8&gt;=Parâmetros!$B$5,1,0),0)</f>
        <v>1</v>
      </c>
      <c r="U8" s="1" t="n">
        <f aca="false">IF(T8=1,SUM(T$6:T8),"")</f>
        <v>3</v>
      </c>
      <c r="V8" s="1" t="n">
        <f aca="false">IF(AND(R8="Ameaça",ISNUMBER(S8)),IF(S8&gt;=Parâmetros!$B$5,1,0),0)</f>
        <v>0</v>
      </c>
      <c r="W8" s="1" t="str">
        <f aca="false">IF(V8=1,SUM(V$6:V8),"")</f>
        <v/>
      </c>
    </row>
    <row r="9" customFormat="false" ht="30" hidden="false" customHeight="true" outlineLevel="0" collapsed="false">
      <c r="A9" s="15"/>
      <c r="B9" s="16" t="n">
        <f aca="false">IF(C9="","",2)</f>
        <v>2</v>
      </c>
      <c r="C9" s="17" t="str">
        <f aca="false">IFERROR(INDEX($K$6:$K$21,MATCH(2,$N$6:$N$21,0)),"")</f>
        <v>[Indústria] IND-02 – Variação do emprego formal na indústria em 5 anos (%)</v>
      </c>
      <c r="D9" s="18" t="n">
        <f aca="false">IFERROR(INDEX($M$6:$M$21,MATCH(2,$N$6:$N$21,0)),"")</f>
        <v>58.91</v>
      </c>
      <c r="F9" s="19" t="n">
        <f aca="false">IF(G9="","",2)</f>
        <v>2</v>
      </c>
      <c r="G9" s="20" t="str">
        <f aca="false">IFERROR(INDEX($K$6:$K$21,MATCH(2,$O$6:$O$21,0)),"")</f>
        <v>[Indústria] IND-01 – Quociente locacional do VAB industrial (base MT) (índice)</v>
      </c>
      <c r="H9" s="21" t="n">
        <f aca="false">IFERROR(INDEX($M$6:$M$21,MATCH(2,$O$6:$O$21,0)),"")</f>
        <v>0.6374</v>
      </c>
      <c r="K9" s="1" t="str">
        <f aca="false">Aux!B9</f>
        <v>[Agropecuária] AGR-04 – Estabelecimentos agropecuários que receberam assistência técnica (%)</v>
      </c>
      <c r="L9" s="1" t="str">
        <f aca="false">'Indicadores (F-W)'!Q9</f>
        <v/>
      </c>
      <c r="M9" s="1" t="str">
        <f aca="false">IF('Indicadores (F-W)'!P9="","",'Indicadores (F-W)'!P9)</f>
        <v/>
      </c>
      <c r="N9" s="1" t="str">
        <f aca="false">IF(L9="Força",COUNTIF(L$6:L9,"Força"),"")</f>
        <v/>
      </c>
      <c r="O9" s="1" t="str">
        <f aca="false">IF(L9="Fraqueza",COUNTIF(L$6:L9,"Fraqueza"),"")</f>
        <v/>
      </c>
      <c r="Q9" s="1" t="str">
        <f aca="false">Aux!I9</f>
        <v>[Indústria] OP-04 – Agroindustrialização e verticalização (frigoríficos, laticínios, sucroenergético)</v>
      </c>
      <c r="R9" s="1" t="str">
        <f aca="false">Aux!J9</f>
        <v>Oportunidade</v>
      </c>
      <c r="S9" s="1" t="n">
        <f aca="false">IF('Fatores Externos (O-A)'!G9="","",'Fatores Externos (O-A)'!G9)</f>
        <v>2</v>
      </c>
      <c r="T9" s="1" t="n">
        <f aca="false">IF(AND(R9="Oportunidade",ISNUMBER(S9)),IF(S9&gt;=Parâmetros!$B$5,1,0),0)</f>
        <v>1</v>
      </c>
      <c r="U9" s="1" t="n">
        <f aca="false">IF(T9=1,SUM(T$6:T9),"")</f>
        <v>4</v>
      </c>
      <c r="V9" s="1" t="n">
        <f aca="false">IF(AND(R9="Ameaça",ISNUMBER(S9)),IF(S9&gt;=Parâmetros!$B$5,1,0),0)</f>
        <v>0</v>
      </c>
      <c r="W9" s="1" t="str">
        <f aca="false">IF(V9=1,SUM(V$6:V9),"")</f>
        <v/>
      </c>
    </row>
    <row r="10" customFormat="false" ht="30" hidden="false" customHeight="true" outlineLevel="0" collapsed="false">
      <c r="A10" s="15"/>
      <c r="B10" s="16" t="n">
        <f aca="false">IF(C10="","",3)</f>
        <v>3</v>
      </c>
      <c r="C10" s="17" t="str">
        <f aca="false">IFERROR(INDEX($K$6:$K$21,MATCH(3,$N$6:$N$21,0)),"")</f>
        <v>[Comércio e Serviços] CS-01 – Quociente locacional do VAB de serviços, exceto adm. pública (base MT) (índice)</v>
      </c>
      <c r="D10" s="18" t="n">
        <f aca="false">IFERROR(INDEX($M$6:$M$21,MATCH(3,$N$6:$N$21,0)),"")</f>
        <v>1.3013</v>
      </c>
      <c r="F10" s="19" t="n">
        <f aca="false">IF(G10="","",3)</f>
        <v>3</v>
      </c>
      <c r="G10" s="20" t="str">
        <f aca="false">IFERROR(INDEX($K$6:$K$21,MATCH(3,$O$6:$O$21,0)),"")</f>
        <v>[Indústria] IND-03 – Remuneração média do emprego formal industrial (R$)</v>
      </c>
      <c r="H10" s="21" t="n">
        <f aca="false">IFERROR(INDEX($M$6:$M$21,MATCH(3,$O$6:$O$21,0)),"")</f>
        <v>2345.65</v>
      </c>
      <c r="K10" s="1" t="str">
        <f aca="false">Aux!B10</f>
        <v>[Agropecuária] AGR-05 – Diversificação agrícola (1 − HHI do valor da produção das lavouras) (índice 0–1)</v>
      </c>
      <c r="L10" s="1" t="str">
        <f aca="false">'Indicadores (F-W)'!Q10</f>
        <v/>
      </c>
      <c r="M10" s="1" t="str">
        <f aca="false">IF('Indicadores (F-W)'!P10="","",'Indicadores (F-W)'!P10)</f>
        <v/>
      </c>
      <c r="N10" s="1" t="str">
        <f aca="false">IF(L10="Força",COUNTIF(L$6:L10,"Força"),"")</f>
        <v/>
      </c>
      <c r="O10" s="1" t="str">
        <f aca="false">IF(L10="Fraqueza",COUNTIF(L$6:L10,"Fraqueza"),"")</f>
        <v/>
      </c>
      <c r="Q10" s="1" t="str">
        <f aca="false">Aux!I10</f>
        <v>[Estrutura Econômica e Fiscal] OP-05 – Corredores logísticos (rodovias federais, ferrovia, hidrovia do Paraguai)</v>
      </c>
      <c r="R10" s="1" t="str">
        <f aca="false">Aux!J10</f>
        <v>Oportunidade</v>
      </c>
      <c r="S10" s="1" t="n">
        <f aca="false">IF('Fatores Externos (O-A)'!G10="","",'Fatores Externos (O-A)'!G10)</f>
        <v>3</v>
      </c>
      <c r="T10" s="1" t="n">
        <f aca="false">IF(AND(R10="Oportunidade",ISNUMBER(S10)),IF(S10&gt;=Parâmetros!$B$5,1,0),0)</f>
        <v>1</v>
      </c>
      <c r="U10" s="1" t="n">
        <f aca="false">IF(T10=1,SUM(T$6:T10),"")</f>
        <v>5</v>
      </c>
      <c r="V10" s="1" t="n">
        <f aca="false">IF(AND(R10="Ameaça",ISNUMBER(S10)),IF(S10&gt;=Parâmetros!$B$5,1,0),0)</f>
        <v>0</v>
      </c>
      <c r="W10" s="1" t="str">
        <f aca="false">IF(V10=1,SUM(V$6:V10),"")</f>
        <v/>
      </c>
    </row>
    <row r="11" customFormat="false" ht="30" hidden="false" customHeight="true" outlineLevel="0" collapsed="false">
      <c r="A11" s="15"/>
      <c r="B11" s="16" t="str">
        <f aca="false">IF(C11="","",4)</f>
        <v/>
      </c>
      <c r="C11" s="17" t="str">
        <f aca="false">IFERROR(INDEX($K$6:$K$21,MATCH(4,$N$6:$N$21,0)),"")</f>
        <v/>
      </c>
      <c r="D11" s="18" t="str">
        <f aca="false">IFERROR(INDEX($M$6:$M$21,MATCH(4,$N$6:$N$21,0)),"")</f>
        <v/>
      </c>
      <c r="F11" s="19" t="n">
        <f aca="false">IF(G11="","",4)</f>
        <v>4</v>
      </c>
      <c r="G11" s="20" t="str">
        <f aca="false">IFERROR(INDEX($K$6:$K$21,MATCH(4,$O$6:$O$21,0)),"")</f>
        <v>[Comércio e Serviços] CS-02 – Variação do emprego formal em comércio e serviços em 5 anos (%)</v>
      </c>
      <c r="H11" s="21" t="n">
        <f aca="false">IFERROR(INDEX($M$6:$M$21,MATCH(4,$O$6:$O$21,0)),"")</f>
        <v>13.05</v>
      </c>
      <c r="K11" s="1" t="str">
        <f aca="false">Aux!B11</f>
        <v>[Indústria] IND-01 – Quociente locacional do VAB industrial (base MT) (índice)</v>
      </c>
      <c r="L11" s="1" t="str">
        <f aca="false">'Indicadores (F-W)'!Q11</f>
        <v>Fraqueza</v>
      </c>
      <c r="M11" s="87" t="n">
        <f aca="false">IF('Indicadores (F-W)'!P11="","",'Indicadores (F-W)'!P11)</f>
        <v>0.6374</v>
      </c>
      <c r="N11" s="1" t="str">
        <f aca="false">IF(L11="Força",COUNTIF(L$6:L11,"Força"),"")</f>
        <v/>
      </c>
      <c r="O11" s="1" t="n">
        <f aca="false">IF(L11="Fraqueza",COUNTIF(L$6:L11,"Fraqueza"),"")</f>
        <v>2</v>
      </c>
      <c r="Q11" s="1" t="str">
        <f aca="false">Aux!I11</f>
        <v>[Estrutura Econômica e Fiscal] OP-06 – Instrumentos de fomento e financiamento (FCO, crédito rural, PSA, mercado de carbono)</v>
      </c>
      <c r="R11" s="1" t="str">
        <f aca="false">Aux!J11</f>
        <v>Oportunidade</v>
      </c>
      <c r="S11" s="1" t="n">
        <f aca="false">IF('Fatores Externos (O-A)'!G11="","",'Fatores Externos (O-A)'!G11)</f>
        <v>3</v>
      </c>
      <c r="T11" s="1" t="n">
        <f aca="false">IF(AND(R11="Oportunidade",ISNUMBER(S11)),IF(S11&gt;=Parâmetros!$B$5,1,0),0)</f>
        <v>1</v>
      </c>
      <c r="U11" s="1" t="n">
        <f aca="false">IF(T11=1,SUM(T$6:T11),"")</f>
        <v>6</v>
      </c>
      <c r="V11" s="1" t="n">
        <f aca="false">IF(AND(R11="Ameaça",ISNUMBER(S11)),IF(S11&gt;=Parâmetros!$B$5,1,0),0)</f>
        <v>0</v>
      </c>
      <c r="W11" s="1" t="str">
        <f aca="false">IF(V11=1,SUM(V$6:V11),"")</f>
        <v/>
      </c>
    </row>
    <row r="12" customFormat="false" ht="30" hidden="false" customHeight="true" outlineLevel="0" collapsed="false">
      <c r="A12" s="15"/>
      <c r="B12" s="16" t="str">
        <f aca="false">IF(C12="","",5)</f>
        <v/>
      </c>
      <c r="C12" s="17" t="str">
        <f aca="false">IFERROR(INDEX($K$6:$K$21,MATCH(5,$N$6:$N$21,0)),"")</f>
        <v/>
      </c>
      <c r="D12" s="18" t="str">
        <f aca="false">IFERROR(INDEX($M$6:$M$21,MATCH(5,$N$6:$N$21,0)),"")</f>
        <v/>
      </c>
      <c r="F12" s="19" t="n">
        <f aca="false">IF(G12="","",5)</f>
        <v>5</v>
      </c>
      <c r="G12" s="20" t="str">
        <f aca="false">IFERROR(INDEX($K$6:$K$21,MATCH(5,$O$6:$O$21,0)),"")</f>
        <v>[Comércio e Serviços] CS-03 – Empresas e outras organizações ativas por mil habitantes (un./mil hab.)</v>
      </c>
      <c r="H12" s="21" t="n">
        <f aca="false">IFERROR(INDEX($M$6:$M$21,MATCH(5,$O$6:$O$21,0)),"")</f>
        <v>19.41</v>
      </c>
      <c r="K12" s="1" t="str">
        <f aca="false">Aux!B12</f>
        <v>[Indústria] IND-02 – Variação do emprego formal na indústria em 5 anos (%)</v>
      </c>
      <c r="L12" s="1" t="str">
        <f aca="false">'Indicadores (F-W)'!Q12</f>
        <v>Força</v>
      </c>
      <c r="M12" s="88" t="n">
        <f aca="false">IF('Indicadores (F-W)'!P12="","",'Indicadores (F-W)'!P12)</f>
        <v>58.91</v>
      </c>
      <c r="N12" s="1" t="n">
        <f aca="false">IF(L12="Força",COUNTIF(L$6:L12,"Força"),"")</f>
        <v>2</v>
      </c>
      <c r="O12" s="1" t="str">
        <f aca="false">IF(L12="Fraqueza",COUNTIF(L$6:L12,"Fraqueza"),"")</f>
        <v/>
      </c>
      <c r="Q12" s="1" t="str">
        <f aca="false">Aux!I12</f>
        <v>[Agropecuária] AM-01 – Eventos climáticos extremos: secas prolongadas e incêndios no Pantanal</v>
      </c>
      <c r="R12" s="1" t="str">
        <f aca="false">Aux!J12</f>
        <v>Ameaça</v>
      </c>
      <c r="S12" s="1" t="n">
        <f aca="false">IF('Fatores Externos (O-A)'!G12="","",'Fatores Externos (O-A)'!G12)</f>
        <v>3</v>
      </c>
      <c r="T12" s="1" t="n">
        <f aca="false">IF(AND(R12="Oportunidade",ISNUMBER(S12)),IF(S12&gt;=Parâmetros!$B$5,1,0),0)</f>
        <v>0</v>
      </c>
      <c r="U12" s="1" t="str">
        <f aca="false">IF(T12=1,SUM(T$6:T12),"")</f>
        <v/>
      </c>
      <c r="V12" s="1" t="n">
        <f aca="false">IF(AND(R12="Ameaça",ISNUMBER(S12)),IF(S12&gt;=Parâmetros!$B$5,1,0),0)</f>
        <v>1</v>
      </c>
      <c r="W12" s="1" t="n">
        <f aca="false">IF(V12=1,SUM(V$6:V12),"")</f>
        <v>1</v>
      </c>
    </row>
    <row r="13" customFormat="false" ht="30" hidden="false" customHeight="true" outlineLevel="0" collapsed="false">
      <c r="A13" s="15"/>
      <c r="B13" s="16" t="str">
        <f aca="false">IF(C13="","",6)</f>
        <v/>
      </c>
      <c r="C13" s="17" t="str">
        <f aca="false">IFERROR(INDEX($K$6:$K$21,MATCH(6,$N$6:$N$21,0)),"")</f>
        <v/>
      </c>
      <c r="D13" s="18" t="str">
        <f aca="false">IFERROR(INDEX($M$6:$M$21,MATCH(6,$N$6:$N$21,0)),"")</f>
        <v/>
      </c>
      <c r="F13" s="19" t="n">
        <f aca="false">IF(G13="","",6)</f>
        <v>6</v>
      </c>
      <c r="G13" s="20" t="str">
        <f aca="false">IFERROR(INDEX($K$6:$K$21,MATCH(6,$O$6:$O$21,0)),"")</f>
        <v>[Estrutura Econômica e Fiscal] EST-01 – PIB per capita (R$)</v>
      </c>
      <c r="H13" s="21" t="n">
        <f aca="false">IFERROR(INDEX($M$6:$M$21,MATCH(6,$O$6:$O$21,0)),"")</f>
        <v>31174.15</v>
      </c>
      <c r="K13" s="1" t="str">
        <f aca="false">Aux!B13</f>
        <v>[Indústria] IND-03 – Remuneração média do emprego formal industrial (R$)</v>
      </c>
      <c r="L13" s="1" t="str">
        <f aca="false">'Indicadores (F-W)'!Q13</f>
        <v>Fraqueza</v>
      </c>
      <c r="M13" s="88" t="n">
        <f aca="false">IF('Indicadores (F-W)'!P13="","",'Indicadores (F-W)'!P13)</f>
        <v>2345.65</v>
      </c>
      <c r="N13" s="1" t="str">
        <f aca="false">IF(L13="Força",COUNTIF(L$6:L13,"Força"),"")</f>
        <v/>
      </c>
      <c r="O13" s="1" t="n">
        <f aca="false">IF(L13="Fraqueza",COUNTIF(L$6:L13,"Fraqueza"),"")</f>
        <v>3</v>
      </c>
      <c r="Q13" s="1" t="str">
        <f aca="false">Aux!I13</f>
        <v>[Agropecuária] AM-02 – Volatilidade de preços de commodities (boi gordo, soja, milho)</v>
      </c>
      <c r="R13" s="1" t="str">
        <f aca="false">Aux!J13</f>
        <v>Ameaça</v>
      </c>
      <c r="S13" s="1" t="n">
        <f aca="false">IF('Fatores Externos (O-A)'!G13="","",'Fatores Externos (O-A)'!G13)</f>
        <v>3</v>
      </c>
      <c r="T13" s="1" t="n">
        <f aca="false">IF(AND(R13="Oportunidade",ISNUMBER(S13)),IF(S13&gt;=Parâmetros!$B$5,1,0),0)</f>
        <v>0</v>
      </c>
      <c r="U13" s="1" t="str">
        <f aca="false">IF(T13=1,SUM(T$6:T13),"")</f>
        <v/>
      </c>
      <c r="V13" s="1" t="n">
        <f aca="false">IF(AND(R13="Ameaça",ISNUMBER(S13)),IF(S13&gt;=Parâmetros!$B$5,1,0),0)</f>
        <v>1</v>
      </c>
      <c r="W13" s="1" t="n">
        <f aca="false">IF(V13=1,SUM(V$6:V13),"")</f>
        <v>2</v>
      </c>
    </row>
    <row r="14" customFormat="false" ht="30" hidden="false" customHeight="true" outlineLevel="0" collapsed="false">
      <c r="A14" s="15"/>
      <c r="B14" s="16" t="str">
        <f aca="false">IF(C14="","",7)</f>
        <v/>
      </c>
      <c r="C14" s="17" t="str">
        <f aca="false">IFERROR(INDEX($K$6:$K$21,MATCH(7,$N$6:$N$21,0)),"")</f>
        <v/>
      </c>
      <c r="D14" s="18" t="str">
        <f aca="false">IFERROR(INDEX($M$6:$M$21,MATCH(7,$N$6:$N$21,0)),"")</f>
        <v/>
      </c>
      <c r="F14" s="19" t="n">
        <f aca="false">IF(G14="","",7)</f>
        <v>7</v>
      </c>
      <c r="G14" s="20" t="str">
        <f aca="false">IFERROR(INDEX($K$6:$K$21,MATCH(7,$O$6:$O$21,0)),"")</f>
        <v>[Estrutura Econômica e Fiscal] EST-02 – Participação da administração pública no VAB total (%)</v>
      </c>
      <c r="H14" s="21" t="n">
        <f aca="false">IFERROR(INDEX($M$6:$M$21,MATCH(7,$O$6:$O$21,0)),"")</f>
        <v>30.82</v>
      </c>
      <c r="K14" s="1" t="str">
        <f aca="false">Aux!B14</f>
        <v>[Comércio e Serviços] CS-01 – Quociente locacional do VAB de serviços, exceto adm. pública (base MT) (índice)</v>
      </c>
      <c r="L14" s="1" t="str">
        <f aca="false">'Indicadores (F-W)'!Q14</f>
        <v>Força</v>
      </c>
      <c r="M14" s="87" t="n">
        <f aca="false">IF('Indicadores (F-W)'!P14="","",'Indicadores (F-W)'!P14)</f>
        <v>1.3013</v>
      </c>
      <c r="N14" s="1" t="n">
        <f aca="false">IF(L14="Força",COUNTIF(L$6:L14,"Força"),"")</f>
        <v>3</v>
      </c>
      <c r="O14" s="1" t="str">
        <f aca="false">IF(L14="Fraqueza",COUNTIF(L$6:L14,"Fraqueza"),"")</f>
        <v/>
      </c>
      <c r="Q14" s="1" t="str">
        <f aca="false">Aux!I14</f>
        <v>[Agropecuária] AM-03 – Exigências ambientais de mercados importadores e barreiras ligadas a desmatamento (ex.: EUDR)</v>
      </c>
      <c r="R14" s="1" t="str">
        <f aca="false">Aux!J14</f>
        <v>Ameaça</v>
      </c>
      <c r="S14" s="1" t="n">
        <f aca="false">IF('Fatores Externos (O-A)'!G14="","",'Fatores Externos (O-A)'!G14)</f>
        <v>3</v>
      </c>
      <c r="T14" s="1" t="n">
        <f aca="false">IF(AND(R14="Oportunidade",ISNUMBER(S14)),IF(S14&gt;=Parâmetros!$B$5,1,0),0)</f>
        <v>0</v>
      </c>
      <c r="U14" s="1" t="str">
        <f aca="false">IF(T14=1,SUM(T$6:T14),"")</f>
        <v/>
      </c>
      <c r="V14" s="1" t="n">
        <f aca="false">IF(AND(R14="Ameaça",ISNUMBER(S14)),IF(S14&gt;=Parâmetros!$B$5,1,0),0)</f>
        <v>1</v>
      </c>
      <c r="W14" s="1" t="n">
        <f aca="false">IF(V14=1,SUM(V$6:V14),"")</f>
        <v>3</v>
      </c>
    </row>
    <row r="15" customFormat="false" ht="30" hidden="false" customHeight="true" outlineLevel="0" collapsed="false">
      <c r="A15" s="15"/>
      <c r="B15" s="16" t="str">
        <f aca="false">IF(C15="","",8)</f>
        <v/>
      </c>
      <c r="C15" s="17" t="str">
        <f aca="false">IFERROR(INDEX($K$6:$K$21,MATCH(8,$N$6:$N$21,0)),"")</f>
        <v/>
      </c>
      <c r="D15" s="18" t="str">
        <f aca="false">IFERROR(INDEX($M$6:$M$21,MATCH(8,$N$6:$N$21,0)),"")</f>
        <v/>
      </c>
      <c r="F15" s="19" t="n">
        <f aca="false">IF(G15="","",8)</f>
        <v>8</v>
      </c>
      <c r="G15" s="20" t="str">
        <f aca="false">IFERROR(INDEX($K$6:$K$21,MATCH(8,$O$6:$O$21,0)),"")</f>
        <v>[Estrutura Econômica e Fiscal] EST-03 – Vínculos formais por 100 habitantes (vínculos/100 hab.)</v>
      </c>
      <c r="H15" s="21" t="n">
        <f aca="false">IFERROR(INDEX($M$6:$M$21,MATCH(8,$O$6:$O$21,0)),"")</f>
        <v>18.4</v>
      </c>
      <c r="K15" s="1" t="str">
        <f aca="false">Aux!B15</f>
        <v>[Comércio e Serviços] CS-02 – Variação do emprego formal em comércio e serviços em 5 anos (%)</v>
      </c>
      <c r="L15" s="1" t="str">
        <f aca="false">'Indicadores (F-W)'!Q15</f>
        <v>Fraqueza</v>
      </c>
      <c r="M15" s="88" t="n">
        <f aca="false">IF('Indicadores (F-W)'!P15="","",'Indicadores (F-W)'!P15)</f>
        <v>13.05</v>
      </c>
      <c r="N15" s="1" t="str">
        <f aca="false">IF(L15="Força",COUNTIF(L$6:L15,"Força"),"")</f>
        <v/>
      </c>
      <c r="O15" s="1" t="n">
        <f aca="false">IF(L15="Fraqueza",COUNTIF(L$6:L15,"Fraqueza"),"")</f>
        <v>4</v>
      </c>
      <c r="Q15" s="1" t="str">
        <f aca="false">Aux!I15</f>
        <v>[Estrutura Econômica e Fiscal] AM-04 – Transição da Reforma Tributária (IBS/CBS) e efeitos sobre a repartição de receitas municipais</v>
      </c>
      <c r="R15" s="1" t="str">
        <f aca="false">Aux!J15</f>
        <v>Ameaça</v>
      </c>
      <c r="S15" s="1" t="n">
        <f aca="false">IF('Fatores Externos (O-A)'!G15="","",'Fatores Externos (O-A)'!G15)</f>
        <v>2</v>
      </c>
      <c r="T15" s="1" t="n">
        <f aca="false">IF(AND(R15="Oportunidade",ISNUMBER(S15)),IF(S15&gt;=Parâmetros!$B$5,1,0),0)</f>
        <v>0</v>
      </c>
      <c r="U15" s="1" t="str">
        <f aca="false">IF(T15=1,SUM(T$6:T15),"")</f>
        <v/>
      </c>
      <c r="V15" s="1" t="n">
        <f aca="false">IF(AND(R15="Ameaça",ISNUMBER(S15)),IF(S15&gt;=Parâmetros!$B$5,1,0),0)</f>
        <v>1</v>
      </c>
      <c r="W15" s="1" t="n">
        <f aca="false">IF(V15=1,SUM(V$6:V15),"")</f>
        <v>4</v>
      </c>
    </row>
    <row r="16" customFormat="false" ht="30" hidden="false" customHeight="true" outlineLevel="0" collapsed="false">
      <c r="A16" s="15"/>
      <c r="B16" s="16" t="str">
        <f aca="false">IF(C16="","",9)</f>
        <v/>
      </c>
      <c r="C16" s="17" t="str">
        <f aca="false">IFERROR(INDEX($K$6:$K$21,MATCH(9,$N$6:$N$21,0)),"")</f>
        <v/>
      </c>
      <c r="D16" s="18" t="str">
        <f aca="false">IFERROR(INDEX($M$6:$M$21,MATCH(9,$N$6:$N$21,0)),"")</f>
        <v/>
      </c>
      <c r="F16" s="19" t="str">
        <f aca="false">IF(G16="","",9)</f>
        <v/>
      </c>
      <c r="G16" s="20" t="str">
        <f aca="false">IFERROR(INDEX($K$6:$K$21,MATCH(9,$O$6:$O$21,0)),"")</f>
        <v/>
      </c>
      <c r="H16" s="21" t="str">
        <f aca="false">IFERROR(INDEX($M$6:$M$21,MATCH(9,$O$6:$O$21,0)),"")</f>
        <v/>
      </c>
      <c r="K16" s="1" t="str">
        <f aca="false">Aux!B16</f>
        <v>[Comércio e Serviços] CS-03 – Empresas e outras organizações ativas por mil habitantes (un./mil hab.)</v>
      </c>
      <c r="L16" s="1" t="str">
        <f aca="false">'Indicadores (F-W)'!Q16</f>
        <v>Fraqueza</v>
      </c>
      <c r="M16" s="88" t="n">
        <f aca="false">IF('Indicadores (F-W)'!P16="","",'Indicadores (F-W)'!P16)</f>
        <v>19.41</v>
      </c>
      <c r="N16" s="1" t="str">
        <f aca="false">IF(L16="Força",COUNTIF(L$6:L16,"Força"),"")</f>
        <v/>
      </c>
      <c r="O16" s="1" t="n">
        <f aca="false">IF(L16="Fraqueza",COUNTIF(L$6:L16,"Fraqueza"),"")</f>
        <v>5</v>
      </c>
      <c r="Q16" s="1" t="str">
        <f aca="false">Aux!I16</f>
        <v>[Comércio e Serviços] AM-05 – Polarização regional por centros maiores (evasão de consumo, serviços e mão de obra)</v>
      </c>
      <c r="R16" s="1" t="str">
        <f aca="false">Aux!J16</f>
        <v>Ameaça</v>
      </c>
      <c r="S16" s="1" t="n">
        <f aca="false">IF('Fatores Externos (O-A)'!G16="","",'Fatores Externos (O-A)'!G16)</f>
        <v>1</v>
      </c>
      <c r="T16" s="1" t="n">
        <f aca="false">IF(AND(R16="Oportunidade",ISNUMBER(S16)),IF(S16&gt;=Parâmetros!$B$5,1,0),0)</f>
        <v>0</v>
      </c>
      <c r="U16" s="1" t="str">
        <f aca="false">IF(T16=1,SUM(T$6:T16),"")</f>
        <v/>
      </c>
      <c r="V16" s="1" t="n">
        <f aca="false">IF(AND(R16="Ameaça",ISNUMBER(S16)),IF(S16&gt;=Parâmetros!$B$5,1,0),0)</f>
        <v>0</v>
      </c>
      <c r="W16" s="1" t="str">
        <f aca="false">IF(V16=1,SUM(V$6:V16),"")</f>
        <v/>
      </c>
    </row>
    <row r="17" customFormat="false" ht="30" hidden="false" customHeight="true" outlineLevel="0" collapsed="false">
      <c r="A17" s="15"/>
      <c r="B17" s="16" t="str">
        <f aca="false">IF(C17="","",10)</f>
        <v/>
      </c>
      <c r="C17" s="17" t="str">
        <f aca="false">IFERROR(INDEX($K$6:$K$21,MATCH(10,$N$6:$N$21,0)),"")</f>
        <v/>
      </c>
      <c r="D17" s="18" t="str">
        <f aca="false">IFERROR(INDEX($M$6:$M$21,MATCH(10,$N$6:$N$21,0)),"")</f>
        <v/>
      </c>
      <c r="F17" s="19" t="str">
        <f aca="false">IF(G17="","",10)</f>
        <v/>
      </c>
      <c r="G17" s="20" t="str">
        <f aca="false">IFERROR(INDEX($K$6:$K$21,MATCH(10,$O$6:$O$21,0)),"")</f>
        <v/>
      </c>
      <c r="H17" s="21" t="str">
        <f aca="false">IFERROR(INDEX($M$6:$M$21,MATCH(10,$O$6:$O$21,0)),"")</f>
        <v/>
      </c>
      <c r="K17" s="1" t="str">
        <f aca="false">Aux!B17</f>
        <v>[Estrutura Econômica e Fiscal] EST-01 – PIB per capita (R$)</v>
      </c>
      <c r="L17" s="1" t="str">
        <f aca="false">'Indicadores (F-W)'!Q17</f>
        <v>Fraqueza</v>
      </c>
      <c r="M17" s="89" t="n">
        <f aca="false">IF('Indicadores (F-W)'!P17="","",'Indicadores (F-W)'!P17)</f>
        <v>31174.15</v>
      </c>
      <c r="N17" s="1" t="str">
        <f aca="false">IF(L17="Força",COUNTIF(L$6:L17,"Força"),"")</f>
        <v/>
      </c>
      <c r="O17" s="1" t="n">
        <f aca="false">IF(L17="Fraqueza",COUNTIF(L$6:L17,"Fraqueza"),"")</f>
        <v>6</v>
      </c>
    </row>
    <row r="18" customFormat="false" ht="30" hidden="false" customHeight="true" outlineLevel="0" collapsed="false">
      <c r="A18" s="15"/>
      <c r="B18" s="16" t="str">
        <f aca="false">IF(C18="","",11)</f>
        <v/>
      </c>
      <c r="C18" s="17" t="str">
        <f aca="false">IFERROR(INDEX($K$6:$K$21,MATCH(11,$N$6:$N$21,0)),"")</f>
        <v/>
      </c>
      <c r="D18" s="18" t="str">
        <f aca="false">IFERROR(INDEX($M$6:$M$21,MATCH(11,$N$6:$N$21,0)),"")</f>
        <v/>
      </c>
      <c r="F18" s="19" t="str">
        <f aca="false">IF(G18="","",11)</f>
        <v/>
      </c>
      <c r="G18" s="20" t="str">
        <f aca="false">IFERROR(INDEX($K$6:$K$21,MATCH(11,$O$6:$O$21,0)),"")</f>
        <v/>
      </c>
      <c r="H18" s="21" t="str">
        <f aca="false">IFERROR(INDEX($M$6:$M$21,MATCH(11,$O$6:$O$21,0)),"")</f>
        <v/>
      </c>
      <c r="K18" s="1" t="str">
        <f aca="false">Aux!B18</f>
        <v>[Estrutura Econômica e Fiscal] EST-02 – Participação da administração pública no VAB total (%)</v>
      </c>
      <c r="L18" s="1" t="str">
        <f aca="false">'Indicadores (F-W)'!Q18</f>
        <v>Fraqueza</v>
      </c>
      <c r="M18" s="90" t="n">
        <f aca="false">IF('Indicadores (F-W)'!P18="","",'Indicadores (F-W)'!P18)</f>
        <v>30.82</v>
      </c>
      <c r="N18" s="1" t="str">
        <f aca="false">IF(L18="Força",COUNTIF(L$6:L18,"Força"),"")</f>
        <v/>
      </c>
      <c r="O18" s="1" t="n">
        <f aca="false">IF(L18="Fraqueza",COUNTIF(L$6:L18,"Fraqueza"),"")</f>
        <v>7</v>
      </c>
    </row>
    <row r="19" customFormat="false" ht="30" hidden="false" customHeight="true" outlineLevel="0" collapsed="false">
      <c r="A19" s="15"/>
      <c r="B19" s="16" t="str">
        <f aca="false">IF(C19="","",12)</f>
        <v/>
      </c>
      <c r="C19" s="17" t="str">
        <f aca="false">IFERROR(INDEX($K$6:$K$21,MATCH(12,$N$6:$N$21,0)),"")</f>
        <v/>
      </c>
      <c r="D19" s="18" t="str">
        <f aca="false">IFERROR(INDEX($M$6:$M$21,MATCH(12,$N$6:$N$21,0)),"")</f>
        <v/>
      </c>
      <c r="F19" s="19" t="str">
        <f aca="false">IF(G19="","",12)</f>
        <v/>
      </c>
      <c r="G19" s="20" t="str">
        <f aca="false">IFERROR(INDEX($K$6:$K$21,MATCH(12,$O$6:$O$21,0)),"")</f>
        <v/>
      </c>
      <c r="H19" s="21" t="str">
        <f aca="false">IFERROR(INDEX($M$6:$M$21,MATCH(12,$O$6:$O$21,0)),"")</f>
        <v/>
      </c>
      <c r="K19" s="1" t="str">
        <f aca="false">Aux!B19</f>
        <v>[Estrutura Econômica e Fiscal] EST-03 – Vínculos formais por 100 habitantes (vínculos/100 hab.)</v>
      </c>
      <c r="L19" s="1" t="str">
        <f aca="false">'Indicadores (F-W)'!Q19</f>
        <v>Fraqueza</v>
      </c>
      <c r="M19" s="88" t="n">
        <f aca="false">IF('Indicadores (F-W)'!P19="","",'Indicadores (F-W)'!P19)</f>
        <v>18.4</v>
      </c>
      <c r="N19" s="1" t="str">
        <f aca="false">IF(L19="Força",COUNTIF(L$6:L19,"Força"),"")</f>
        <v/>
      </c>
      <c r="O19" s="1" t="n">
        <f aca="false">IF(L19="Fraqueza",COUNTIF(L$6:L19,"Fraqueza"),"")</f>
        <v>8</v>
      </c>
    </row>
    <row r="20" customFormat="false" ht="15" hidden="false" customHeight="true" outlineLevel="0" collapsed="false">
      <c r="C20" s="22" t="str">
        <f aca="false">IF(COUNTIF($L$6:$L$21,"Força")&gt;12,"+ "&amp;(COUNTIF($L$6:$L$21,"Força")-12)&amp;" item(ns) não exibido(s)","")</f>
        <v/>
      </c>
      <c r="G20" s="22" t="str">
        <f aca="false">IF(COUNTIF($L$6:$L$21,"Fraqueza")&gt;12,"+ "&amp;(COUNTIF($L$6:$L$21,"Fraqueza")-12)&amp;" item(ns) não exibido(s)","")</f>
        <v/>
      </c>
      <c r="K20" s="1" t="str">
        <f aca="false">Aux!B20</f>
        <v>[Estrutura Econômica e Fiscal] EST-04 – Concentração setorial do emprego formal (HHI por seção CNAE) (índice 0–1)</v>
      </c>
      <c r="L20" s="1" t="str">
        <f aca="false">'Indicadores (F-W)'!Q20</f>
        <v>Neutro</v>
      </c>
      <c r="M20" s="93" t="n">
        <f aca="false">IF('Indicadores (F-W)'!P20="","",'Indicadores (F-W)'!P20)</f>
        <v>0.1286</v>
      </c>
      <c r="N20" s="1" t="str">
        <f aca="false">IF(L20="Força",COUNTIF(L$6:L20,"Força"),"")</f>
        <v/>
      </c>
      <c r="O20" s="1" t="str">
        <f aca="false">IF(L20="Fraqueza",COUNTIF(L$6:L20,"Fraqueza"),"")</f>
        <v/>
      </c>
    </row>
    <row r="21" customFormat="false" ht="15" hidden="false" customHeight="true" outlineLevel="0" collapsed="false">
      <c r="K21" s="1" t="str">
        <f aca="false">Aux!B21</f>
        <v>[Estrutura Econômica e Fiscal] EST-05 – Receitas próprias / receita corrente (%)</v>
      </c>
      <c r="L21" s="1" t="str">
        <f aca="false">'Indicadores (F-W)'!Q21</f>
        <v>Neutro</v>
      </c>
      <c r="M21" s="88" t="n">
        <f aca="false">IF('Indicadores (F-W)'!P21="","",'Indicadores (F-W)'!P21)</f>
        <v>17.68</v>
      </c>
      <c r="N21" s="1" t="str">
        <f aca="false">IF(L21="Força",COUNTIF(L$6:L21,"Força"),"")</f>
        <v/>
      </c>
      <c r="O21" s="1" t="str">
        <f aca="false">IF(L21="Fraqueza",COUNTIF(L$6:L21,"Fraqueza"),"")</f>
        <v/>
      </c>
    </row>
    <row r="22" customFormat="false" ht="15" hidden="false" customHeight="true" outlineLevel="0" collapsed="false">
      <c r="B22" s="23" t="str">
        <f aca="false">"OPORTUNIDADES (O) — "&amp;SUM($T$6:$T$16)&amp;" item(ns)"</f>
        <v>OPORTUNIDADES (O) — 6 item(ns)</v>
      </c>
      <c r="C22" s="23"/>
      <c r="D22" s="23"/>
      <c r="F22" s="24" t="str">
        <f aca="false">"AMEAÇAS (T) — "&amp;SUM($V$6:$V$16)&amp;" item(ns)"</f>
        <v>AMEAÇAS (T) — 4 item(ns)</v>
      </c>
      <c r="G22" s="24"/>
      <c r="H22" s="24"/>
    </row>
    <row r="23" customFormat="false" ht="15" hidden="false" customHeight="true" outlineLevel="0" collapsed="false">
      <c r="B23" s="25" t="s">
        <v>29</v>
      </c>
      <c r="C23" s="25" t="s">
        <v>30</v>
      </c>
      <c r="D23" s="25" t="s">
        <v>33</v>
      </c>
      <c r="F23" s="26" t="s">
        <v>29</v>
      </c>
      <c r="G23" s="26" t="s">
        <v>30</v>
      </c>
      <c r="H23" s="26" t="s">
        <v>33</v>
      </c>
    </row>
    <row r="24" customFormat="false" ht="30" hidden="false" customHeight="true" outlineLevel="0" collapsed="false">
      <c r="A24" s="15" t="s">
        <v>34</v>
      </c>
      <c r="B24" s="27" t="n">
        <f aca="false">IF(C24="","",1)</f>
        <v>1</v>
      </c>
      <c r="C24" s="28" t="str">
        <f aca="false">IFERROR(INDEX($Q$6:$Q$16,MATCH(1,$U$6:$U$16,0)),"")</f>
        <v>[Agropecuária] OP-01 – Demanda externa por carne bovina e proteína animal</v>
      </c>
      <c r="D24" s="29" t="n">
        <f aca="false">IFERROR(INDEX($S$6:$S$16,MATCH(1,$U$6:$U$16,0)),"")</f>
        <v>3</v>
      </c>
      <c r="F24" s="30" t="n">
        <f aca="false">IF(G24="","",1)</f>
        <v>1</v>
      </c>
      <c r="G24" s="31" t="str">
        <f aca="false">IFERROR(INDEX($Q$6:$Q$16,MATCH(1,$W$6:$W$16,0)),"")</f>
        <v>[Agropecuária] AM-01 – Eventos climáticos extremos: secas prolongadas e incêndios no Pantanal</v>
      </c>
      <c r="H24" s="32" t="n">
        <f aca="false">IFERROR(INDEX($S$6:$S$16,MATCH(1,$W$6:$W$16,0)),"")</f>
        <v>3</v>
      </c>
    </row>
    <row r="25" customFormat="false" ht="30" hidden="false" customHeight="true" outlineLevel="0" collapsed="false">
      <c r="A25" s="15"/>
      <c r="B25" s="27" t="n">
        <f aca="false">IF(C25="","",2)</f>
        <v>2</v>
      </c>
      <c r="C25" s="28" t="str">
        <f aca="false">IFERROR(INDEX($Q$6:$Q$16,MATCH(2,$U$6:$U$16,0)),"")</f>
        <v>[Agropecuária] OP-02 – Mercados para produtos diferenciados e certificados (carne sustentável/orgânica, origem Pantanal)</v>
      </c>
      <c r="D25" s="29" t="n">
        <f aca="false">IFERROR(INDEX($S$6:$S$16,MATCH(2,$U$6:$U$16,0)),"")</f>
        <v>3</v>
      </c>
      <c r="F25" s="30" t="n">
        <f aca="false">IF(G25="","",2)</f>
        <v>2</v>
      </c>
      <c r="G25" s="31" t="str">
        <f aca="false">IFERROR(INDEX($Q$6:$Q$16,MATCH(2,$W$6:$W$16,0)),"")</f>
        <v>[Agropecuária] AM-02 – Volatilidade de preços de commodities (boi gordo, soja, milho)</v>
      </c>
      <c r="H25" s="32" t="n">
        <f aca="false">IFERROR(INDEX($S$6:$S$16,MATCH(2,$W$6:$W$16,0)),"")</f>
        <v>3</v>
      </c>
    </row>
    <row r="26" customFormat="false" ht="30" hidden="false" customHeight="true" outlineLevel="0" collapsed="false">
      <c r="A26" s="15"/>
      <c r="B26" s="27" t="n">
        <f aca="false">IF(C26="","",3)</f>
        <v>3</v>
      </c>
      <c r="C26" s="28" t="str">
        <f aca="false">IFERROR(INDEX($Q$6:$Q$16,MATCH(3,$U$6:$U$16,0)),"")</f>
        <v>[Comércio e Serviços] OP-03 – Expansão do turismo de natureza, pesca esportiva e ecoturismo</v>
      </c>
      <c r="D26" s="29" t="n">
        <f aca="false">IFERROR(INDEX($S$6:$S$16,MATCH(3,$U$6:$U$16,0)),"")</f>
        <v>3</v>
      </c>
      <c r="F26" s="30" t="n">
        <f aca="false">IF(G26="","",3)</f>
        <v>3</v>
      </c>
      <c r="G26" s="31" t="str">
        <f aca="false">IFERROR(INDEX($Q$6:$Q$16,MATCH(3,$W$6:$W$16,0)),"")</f>
        <v>[Agropecuária] AM-03 – Exigências ambientais de mercados importadores e barreiras ligadas a desmatamento (ex.: EUDR)</v>
      </c>
      <c r="H26" s="32" t="n">
        <f aca="false">IFERROR(INDEX($S$6:$S$16,MATCH(3,$W$6:$W$16,0)),"")</f>
        <v>3</v>
      </c>
    </row>
    <row r="27" customFormat="false" ht="30" hidden="false" customHeight="true" outlineLevel="0" collapsed="false">
      <c r="A27" s="15"/>
      <c r="B27" s="27" t="n">
        <f aca="false">IF(C27="","",4)</f>
        <v>4</v>
      </c>
      <c r="C27" s="28" t="str">
        <f aca="false">IFERROR(INDEX($Q$6:$Q$16,MATCH(4,$U$6:$U$16,0)),"")</f>
        <v>[Indústria] OP-04 – Agroindustrialização e verticalização (frigoríficos, laticínios, sucroenergético)</v>
      </c>
      <c r="D27" s="29" t="n">
        <f aca="false">IFERROR(INDEX($S$6:$S$16,MATCH(4,$U$6:$U$16,0)),"")</f>
        <v>2</v>
      </c>
      <c r="F27" s="30" t="n">
        <f aca="false">IF(G27="","",4)</f>
        <v>4</v>
      </c>
      <c r="G27" s="31" t="str">
        <f aca="false">IFERROR(INDEX($Q$6:$Q$16,MATCH(4,$W$6:$W$16,0)),"")</f>
        <v>[Estrutura Econômica e Fiscal] AM-04 – Transição da Reforma Tributária (IBS/CBS) e efeitos sobre a repartição de receitas municipais</v>
      </c>
      <c r="H27" s="32" t="n">
        <f aca="false">IFERROR(INDEX($S$6:$S$16,MATCH(4,$W$6:$W$16,0)),"")</f>
        <v>2</v>
      </c>
    </row>
    <row r="28" customFormat="false" ht="30" hidden="false" customHeight="true" outlineLevel="0" collapsed="false">
      <c r="A28" s="15"/>
      <c r="B28" s="27" t="n">
        <f aca="false">IF(C28="","",5)</f>
        <v>5</v>
      </c>
      <c r="C28" s="28" t="str">
        <f aca="false">IFERROR(INDEX($Q$6:$Q$16,MATCH(5,$U$6:$U$16,0)),"")</f>
        <v>[Estrutura Econômica e Fiscal] OP-05 – Corredores logísticos (rodovias federais, ferrovia, hidrovia do Paraguai)</v>
      </c>
      <c r="D28" s="29" t="n">
        <f aca="false">IFERROR(INDEX($S$6:$S$16,MATCH(5,$U$6:$U$16,0)),"")</f>
        <v>3</v>
      </c>
      <c r="F28" s="30" t="str">
        <f aca="false">IF(G28="","",5)</f>
        <v/>
      </c>
      <c r="G28" s="31" t="str">
        <f aca="false">IFERROR(INDEX($Q$6:$Q$16,MATCH(5,$W$6:$W$16,0)),"")</f>
        <v/>
      </c>
      <c r="H28" s="32" t="str">
        <f aca="false">IFERROR(INDEX($S$6:$S$16,MATCH(5,$W$6:$W$16,0)),"")</f>
        <v/>
      </c>
    </row>
    <row r="29" customFormat="false" ht="30" hidden="false" customHeight="true" outlineLevel="0" collapsed="false">
      <c r="A29" s="15"/>
      <c r="B29" s="27" t="n">
        <f aca="false">IF(C29="","",6)</f>
        <v>6</v>
      </c>
      <c r="C29" s="28" t="str">
        <f aca="false">IFERROR(INDEX($Q$6:$Q$16,MATCH(6,$U$6:$U$16,0)),"")</f>
        <v>[Estrutura Econômica e Fiscal] OP-06 – Instrumentos de fomento e financiamento (FCO, crédito rural, PSA, mercado de carbono)</v>
      </c>
      <c r="D29" s="29" t="n">
        <f aca="false">IFERROR(INDEX($S$6:$S$16,MATCH(6,$U$6:$U$16,0)),"")</f>
        <v>3</v>
      </c>
      <c r="F29" s="30" t="str">
        <f aca="false">IF(G29="","",6)</f>
        <v/>
      </c>
      <c r="G29" s="31" t="str">
        <f aca="false">IFERROR(INDEX($Q$6:$Q$16,MATCH(6,$W$6:$W$16,0)),"")</f>
        <v/>
      </c>
      <c r="H29" s="32" t="str">
        <f aca="false">IFERROR(INDEX($S$6:$S$16,MATCH(6,$W$6:$W$16,0)),"")</f>
        <v/>
      </c>
    </row>
    <row r="30" customFormat="false" ht="30" hidden="false" customHeight="true" outlineLevel="0" collapsed="false">
      <c r="A30" s="15"/>
      <c r="B30" s="27" t="str">
        <f aca="false">IF(C30="","",7)</f>
        <v/>
      </c>
      <c r="C30" s="28" t="str">
        <f aca="false">IFERROR(INDEX($Q$6:$Q$16,MATCH(7,$U$6:$U$16,0)),"")</f>
        <v/>
      </c>
      <c r="D30" s="29" t="str">
        <f aca="false">IFERROR(INDEX($S$6:$S$16,MATCH(7,$U$6:$U$16,0)),"")</f>
        <v/>
      </c>
      <c r="F30" s="30" t="str">
        <f aca="false">IF(G30="","",7)</f>
        <v/>
      </c>
      <c r="G30" s="31" t="str">
        <f aca="false">IFERROR(INDEX($Q$6:$Q$16,MATCH(7,$W$6:$W$16,0)),"")</f>
        <v/>
      </c>
      <c r="H30" s="32" t="str">
        <f aca="false">IFERROR(INDEX($S$6:$S$16,MATCH(7,$W$6:$W$16,0)),"")</f>
        <v/>
      </c>
    </row>
    <row r="31" customFormat="false" ht="30" hidden="false" customHeight="true" outlineLevel="0" collapsed="false">
      <c r="A31" s="15"/>
      <c r="B31" s="27" t="str">
        <f aca="false">IF(C31="","",8)</f>
        <v/>
      </c>
      <c r="C31" s="28" t="str">
        <f aca="false">IFERROR(INDEX($Q$6:$Q$16,MATCH(8,$U$6:$U$16,0)),"")</f>
        <v/>
      </c>
      <c r="D31" s="29" t="str">
        <f aca="false">IFERROR(INDEX($S$6:$S$16,MATCH(8,$U$6:$U$16,0)),"")</f>
        <v/>
      </c>
      <c r="F31" s="30" t="str">
        <f aca="false">IF(G31="","",8)</f>
        <v/>
      </c>
      <c r="G31" s="31" t="str">
        <f aca="false">IFERROR(INDEX($Q$6:$Q$16,MATCH(8,$W$6:$W$16,0)),"")</f>
        <v/>
      </c>
      <c r="H31" s="32" t="str">
        <f aca="false">IFERROR(INDEX($S$6:$S$16,MATCH(8,$W$6:$W$16,0)),"")</f>
        <v/>
      </c>
    </row>
    <row r="32" customFormat="false" ht="30" hidden="false" customHeight="true" outlineLevel="0" collapsed="false">
      <c r="A32" s="15"/>
      <c r="B32" s="27" t="str">
        <f aca="false">IF(C32="","",9)</f>
        <v/>
      </c>
      <c r="C32" s="28" t="str">
        <f aca="false">IFERROR(INDEX($Q$6:$Q$16,MATCH(9,$U$6:$U$16,0)),"")</f>
        <v/>
      </c>
      <c r="D32" s="29" t="str">
        <f aca="false">IFERROR(INDEX($S$6:$S$16,MATCH(9,$U$6:$U$16,0)),"")</f>
        <v/>
      </c>
      <c r="F32" s="30" t="str">
        <f aca="false">IF(G32="","",9)</f>
        <v/>
      </c>
      <c r="G32" s="31" t="str">
        <f aca="false">IFERROR(INDEX($Q$6:$Q$16,MATCH(9,$W$6:$W$16,0)),"")</f>
        <v/>
      </c>
      <c r="H32" s="32" t="str">
        <f aca="false">IFERROR(INDEX($S$6:$S$16,MATCH(9,$W$6:$W$16,0)),"")</f>
        <v/>
      </c>
    </row>
    <row r="33" customFormat="false" ht="30" hidden="false" customHeight="true" outlineLevel="0" collapsed="false">
      <c r="A33" s="15"/>
      <c r="B33" s="27" t="str">
        <f aca="false">IF(C33="","",10)</f>
        <v/>
      </c>
      <c r="C33" s="28" t="str">
        <f aca="false">IFERROR(INDEX($Q$6:$Q$16,MATCH(10,$U$6:$U$16,0)),"")</f>
        <v/>
      </c>
      <c r="D33" s="29" t="str">
        <f aca="false">IFERROR(INDEX($S$6:$S$16,MATCH(10,$U$6:$U$16,0)),"")</f>
        <v/>
      </c>
      <c r="F33" s="30" t="str">
        <f aca="false">IF(G33="","",10)</f>
        <v/>
      </c>
      <c r="G33" s="31" t="str">
        <f aca="false">IFERROR(INDEX($Q$6:$Q$16,MATCH(10,$W$6:$W$16,0)),"")</f>
        <v/>
      </c>
      <c r="H33" s="32" t="str">
        <f aca="false">IFERROR(INDEX($S$6:$S$16,MATCH(10,$W$6:$W$16,0)),"")</f>
        <v/>
      </c>
    </row>
    <row r="34" customFormat="false" ht="30" hidden="false" customHeight="true" outlineLevel="0" collapsed="false">
      <c r="A34" s="15"/>
      <c r="B34" s="27" t="str">
        <f aca="false">IF(C34="","",11)</f>
        <v/>
      </c>
      <c r="C34" s="28" t="str">
        <f aca="false">IFERROR(INDEX($Q$6:$Q$16,MATCH(11,$U$6:$U$16,0)),"")</f>
        <v/>
      </c>
      <c r="D34" s="29" t="str">
        <f aca="false">IFERROR(INDEX($S$6:$S$16,MATCH(11,$U$6:$U$16,0)),"")</f>
        <v/>
      </c>
      <c r="F34" s="30" t="str">
        <f aca="false">IF(G34="","",11)</f>
        <v/>
      </c>
      <c r="G34" s="31" t="str">
        <f aca="false">IFERROR(INDEX($Q$6:$Q$16,MATCH(11,$W$6:$W$16,0)),"")</f>
        <v/>
      </c>
      <c r="H34" s="32" t="str">
        <f aca="false">IFERROR(INDEX($S$6:$S$16,MATCH(11,$W$6:$W$16,0)),"")</f>
        <v/>
      </c>
    </row>
    <row r="35" customFormat="false" ht="30" hidden="false" customHeight="true" outlineLevel="0" collapsed="false">
      <c r="A35" s="15"/>
      <c r="B35" s="27" t="str">
        <f aca="false">IF(C35="","",12)</f>
        <v/>
      </c>
      <c r="C35" s="28" t="str">
        <f aca="false">IFERROR(INDEX($Q$6:$Q$16,MATCH(12,$U$6:$U$16,0)),"")</f>
        <v/>
      </c>
      <c r="D35" s="29" t="str">
        <f aca="false">IFERROR(INDEX($S$6:$S$16,MATCH(12,$U$6:$U$16,0)),"")</f>
        <v/>
      </c>
      <c r="F35" s="30" t="str">
        <f aca="false">IF(G35="","",12)</f>
        <v/>
      </c>
      <c r="G35" s="31" t="str">
        <f aca="false">IFERROR(INDEX($Q$6:$Q$16,MATCH(12,$W$6:$W$16,0)),"")</f>
        <v/>
      </c>
      <c r="H35" s="32" t="str">
        <f aca="false">IFERROR(INDEX($S$6:$S$16,MATCH(12,$W$6:$W$16,0)),"")</f>
        <v/>
      </c>
    </row>
    <row r="36" customFormat="false" ht="15" hidden="false" customHeight="true" outlineLevel="0" collapsed="false">
      <c r="C36" s="22" t="str">
        <f aca="false">IF(SUM($T$6:$T$16)&gt;12,"+ "&amp;(SUM($T$6:$T$16)-12)&amp;" item(ns) não exibido(s)","")</f>
        <v/>
      </c>
      <c r="G36" s="22" t="str">
        <f aca="false">IF(SUM($V$6:$V$16)&gt;12,"+ "&amp;(SUM($V$6:$V$16)-12)&amp;" item(ns) não exibido(s)","")</f>
        <v/>
      </c>
    </row>
    <row r="38" customFormat="false" ht="15" hidden="false" customHeight="true" outlineLevel="0" collapsed="false">
      <c r="B38" s="33" t="s">
        <v>329</v>
      </c>
    </row>
  </sheetData>
  <mergeCells count="8">
    <mergeCell ref="B5:D5"/>
    <mergeCell ref="F5:H5"/>
    <mergeCell ref="B6:D6"/>
    <mergeCell ref="F6:H6"/>
    <mergeCell ref="A8:A19"/>
    <mergeCell ref="B22:D22"/>
    <mergeCell ref="F22:H22"/>
    <mergeCell ref="A24:A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W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"/>
    <col collapsed="false" customWidth="true" hidden="false" outlineLevel="0" max="3" min="3" style="1" width="55"/>
    <col collapsed="false" customWidth="true" hidden="false" outlineLevel="0" max="4" min="4" style="1" width="12"/>
    <col collapsed="false" customWidth="true" hidden="false" outlineLevel="0" max="5" min="5" style="1" width="2"/>
    <col collapsed="false" customWidth="true" hidden="false" outlineLevel="0" max="6" min="6" style="1" width="5"/>
    <col collapsed="false" customWidth="true" hidden="false" outlineLevel="0" max="7" min="7" style="1" width="55"/>
    <col collapsed="false" customWidth="true" hidden="false" outlineLevel="0" max="8" min="8" style="1" width="12"/>
    <col collapsed="false" customWidth="true" hidden="true" outlineLevel="0" max="23" min="11" style="1" width="13"/>
  </cols>
  <sheetData>
    <row r="1" customFormat="false" ht="17.25" hidden="false" customHeight="true" outlineLevel="0" collapsed="false">
      <c r="B1" s="91" t="s">
        <v>331</v>
      </c>
    </row>
    <row r="2" customFormat="false" ht="15" hidden="false" customHeight="true" outlineLevel="0" collapsed="false">
      <c r="B2" s="9" t="s">
        <v>328</v>
      </c>
    </row>
    <row r="3" customFormat="false" ht="15" hidden="false" customHeight="true" outlineLevel="0" collapsed="false">
      <c r="B3" s="92" t="str">
        <f aca="false">"Indicadores internos com dado: "&amp;(COUNTA(L6:L21)-COUNTBLANK(L6:L21))&amp;" de 16  |  Neutros: "&amp;COUNTIF(L6:L21,"Neutro")&amp;"  |  Fatores externos pontuados: "&amp;COUNT(S6:S16)&amp;" de 11"</f>
        <v>Indicadores internos com dado: 14 de 16  |  Neutros: 1  |  Fatores externos pontuados: 11 de 11</v>
      </c>
    </row>
    <row r="5" customFormat="false" ht="15" hidden="false" customHeight="true" outlineLevel="0" collapsed="false">
      <c r="B5" s="10" t="s">
        <v>27</v>
      </c>
      <c r="C5" s="10"/>
      <c r="D5" s="10"/>
      <c r="F5" s="10" t="s">
        <v>28</v>
      </c>
      <c r="G5" s="10"/>
      <c r="H5" s="10"/>
    </row>
    <row r="6" customFormat="false" ht="15" hidden="false" customHeight="true" outlineLevel="0" collapsed="false">
      <c r="B6" s="11" t="str">
        <f aca="false">"FORÇAS (S) — "&amp;COUNTIF($L$6:$L$21,"Força")&amp;" item(ns)"</f>
        <v>FORÇAS (S) — 3 item(ns)</v>
      </c>
      <c r="C6" s="11"/>
      <c r="D6" s="11"/>
      <c r="F6" s="12" t="str">
        <f aca="false">"FRAQUEZAS (W) — "&amp;COUNTIF($L$6:$L$21,"Fraqueza")&amp;" item(ns)"</f>
        <v>FRAQUEZAS (W) — 10 item(ns)</v>
      </c>
      <c r="G6" s="12"/>
      <c r="H6" s="12"/>
      <c r="K6" s="1" t="str">
        <f aca="false">Aux!B6</f>
        <v>[Agropecuária] AGR-01 – Quociente locacional do VAB agropecuário (base MT) (índice)</v>
      </c>
      <c r="L6" s="1" t="str">
        <f aca="false">'Indicadores (F-W)'!S6</f>
        <v>Força</v>
      </c>
      <c r="M6" s="87" t="n">
        <f aca="false">IF('Indicadores (F-W)'!R6="","",'Indicadores (F-W)'!R6)</f>
        <v>1.2022</v>
      </c>
      <c r="N6" s="1" t="n">
        <f aca="false">IF(L6="Força",COUNTIF(L$6:L6,"Força"),"")</f>
        <v>1</v>
      </c>
      <c r="O6" s="1" t="str">
        <f aca="false">IF(L6="Fraqueza",COUNTIF(L$6:L6,"Fraqueza"),"")</f>
        <v/>
      </c>
      <c r="Q6" s="1" t="str">
        <f aca="false">Aux!I6</f>
        <v>[Agropecuária] OP-01 – Demanda externa por carne bovina e proteína animal</v>
      </c>
      <c r="R6" s="1" t="str">
        <f aca="false">Aux!J6</f>
        <v>Oportunidade</v>
      </c>
      <c r="S6" s="1" t="n">
        <f aca="false">IF('Fatores Externos (O-A)'!H6="","",'Fatores Externos (O-A)'!H6)</f>
        <v>2</v>
      </c>
      <c r="T6" s="1" t="n">
        <f aca="false">IF(AND(R6="Oportunidade",ISNUMBER(S6)),IF(S6&gt;=Parâmetros!$B$5,1,0),0)</f>
        <v>1</v>
      </c>
      <c r="U6" s="1" t="n">
        <f aca="false">IF(T6=1,SUM(T$6:T6),"")</f>
        <v>1</v>
      </c>
      <c r="V6" s="1" t="n">
        <f aca="false">IF(AND(R6="Ameaça",ISNUMBER(S6)),IF(S6&gt;=Parâmetros!$B$5,1,0),0)</f>
        <v>0</v>
      </c>
      <c r="W6" s="1" t="str">
        <f aca="false">IF(V6=1,SUM(V$6:V6),"")</f>
        <v/>
      </c>
    </row>
    <row r="7" customFormat="false" ht="15" hidden="false" customHeight="true" outlineLevel="0" collapsed="false">
      <c r="B7" s="13" t="s">
        <v>29</v>
      </c>
      <c r="C7" s="13" t="s">
        <v>30</v>
      </c>
      <c r="D7" s="13" t="s">
        <v>31</v>
      </c>
      <c r="F7" s="14" t="s">
        <v>29</v>
      </c>
      <c r="G7" s="14" t="s">
        <v>30</v>
      </c>
      <c r="H7" s="14" t="s">
        <v>31</v>
      </c>
      <c r="K7" s="1" t="str">
        <f aca="false">Aux!B7</f>
        <v>[Agropecuária] AGR-02 – Valor da produção das lavouras por área colhida (R$/ha)</v>
      </c>
      <c r="L7" s="1" t="str">
        <f aca="false">'Indicadores (F-W)'!S7</f>
        <v>Força</v>
      </c>
      <c r="M7" s="88" t="n">
        <f aca="false">IF('Indicadores (F-W)'!R7="","",'Indicadores (F-W)'!R7)</f>
        <v>10834.24</v>
      </c>
      <c r="N7" s="1" t="n">
        <f aca="false">IF(L7="Força",COUNTIF(L$6:L7,"Força"),"")</f>
        <v>2</v>
      </c>
      <c r="O7" s="1" t="str">
        <f aca="false">IF(L7="Fraqueza",COUNTIF(L$6:L7,"Fraqueza"),"")</f>
        <v/>
      </c>
      <c r="Q7" s="1" t="str">
        <f aca="false">Aux!I7</f>
        <v>[Agropecuária] OP-02 – Mercados para produtos diferenciados e certificados (carne sustentável/orgânica, origem Pantanal)</v>
      </c>
      <c r="R7" s="1" t="str">
        <f aca="false">Aux!J7</f>
        <v>Oportunidade</v>
      </c>
      <c r="S7" s="1" t="n">
        <f aca="false">IF('Fatores Externos (O-A)'!H7="","",'Fatores Externos (O-A)'!H7)</f>
        <v>1</v>
      </c>
      <c r="T7" s="1" t="n">
        <f aca="false">IF(AND(R7="Oportunidade",ISNUMBER(S7)),IF(S7&gt;=Parâmetros!$B$5,1,0),0)</f>
        <v>0</v>
      </c>
      <c r="U7" s="1" t="str">
        <f aca="false">IF(T7=1,SUM(T$6:T7),"")</f>
        <v/>
      </c>
      <c r="V7" s="1" t="n">
        <f aca="false">IF(AND(R7="Ameaça",ISNUMBER(S7)),IF(S7&gt;=Parâmetros!$B$5,1,0),0)</f>
        <v>0</v>
      </c>
      <c r="W7" s="1" t="str">
        <f aca="false">IF(V7=1,SUM(V$6:V7),"")</f>
        <v/>
      </c>
    </row>
    <row r="8" customFormat="false" ht="30" hidden="false" customHeight="true" outlineLevel="0" collapsed="false">
      <c r="A8" s="15" t="s">
        <v>32</v>
      </c>
      <c r="B8" s="16" t="n">
        <f aca="false">IF(C8="","",1)</f>
        <v>1</v>
      </c>
      <c r="C8" s="17" t="str">
        <f aca="false">IFERROR(INDEX($K$6:$K$21,MATCH(1,$N$6:$N$21,0)),"")</f>
        <v>[Agropecuária] AGR-01 – Quociente locacional do VAB agropecuário (base MT) (índice)</v>
      </c>
      <c r="D8" s="18" t="n">
        <f aca="false">IFERROR(INDEX($M$6:$M$21,MATCH(1,$N$6:$N$21,0)),"")</f>
        <v>1.2022</v>
      </c>
      <c r="F8" s="19" t="n">
        <f aca="false">IF(G8="","",1)</f>
        <v>1</v>
      </c>
      <c r="G8" s="20" t="str">
        <f aca="false">IFERROR(INDEX($K$6:$K$21,MATCH(1,$O$6:$O$21,0)),"")</f>
        <v>[Indústria] IND-01 – Quociente locacional do VAB industrial (base MT) (índice)</v>
      </c>
      <c r="H8" s="21" t="n">
        <f aca="false">IFERROR(INDEX($M$6:$M$21,MATCH(1,$O$6:$O$21,0)),"")</f>
        <v>0.4717</v>
      </c>
      <c r="K8" s="1" t="str">
        <f aca="false">Aux!B8</f>
        <v>[Agropecuária] AGR-03 – Variação do efetivo bovino em 5 anos (%)</v>
      </c>
      <c r="L8" s="1" t="str">
        <f aca="false">'Indicadores (F-W)'!S8</f>
        <v>Neutro</v>
      </c>
      <c r="M8" s="88" t="n">
        <f aca="false">IF('Indicadores (F-W)'!R8="","",'Indicadores (F-W)'!R8)</f>
        <v>2.73</v>
      </c>
      <c r="N8" s="1" t="str">
        <f aca="false">IF(L8="Força",COUNTIF(L$6:L8,"Força"),"")</f>
        <v/>
      </c>
      <c r="O8" s="1" t="str">
        <f aca="false">IF(L8="Fraqueza",COUNTIF(L$6:L8,"Fraqueza"),"")</f>
        <v/>
      </c>
      <c r="Q8" s="1" t="str">
        <f aca="false">Aux!I8</f>
        <v>[Comércio e Serviços] OP-03 – Expansão do turismo de natureza, pesca esportiva e ecoturismo</v>
      </c>
      <c r="R8" s="1" t="str">
        <f aca="false">Aux!J8</f>
        <v>Oportunidade</v>
      </c>
      <c r="S8" s="1" t="n">
        <f aca="false">IF('Fatores Externos (O-A)'!H8="","",'Fatores Externos (O-A)'!H8)</f>
        <v>0</v>
      </c>
      <c r="T8" s="1" t="n">
        <f aca="false">IF(AND(R8="Oportunidade",ISNUMBER(S8)),IF(S8&gt;=Parâmetros!$B$5,1,0),0)</f>
        <v>0</v>
      </c>
      <c r="U8" s="1" t="str">
        <f aca="false">IF(T8=1,SUM(T$6:T8),"")</f>
        <v/>
      </c>
      <c r="V8" s="1" t="n">
        <f aca="false">IF(AND(R8="Ameaça",ISNUMBER(S8)),IF(S8&gt;=Parâmetros!$B$5,1,0),0)</f>
        <v>0</v>
      </c>
      <c r="W8" s="1" t="str">
        <f aca="false">IF(V8=1,SUM(V$6:V8),"")</f>
        <v/>
      </c>
    </row>
    <row r="9" customFormat="false" ht="30" hidden="false" customHeight="true" outlineLevel="0" collapsed="false">
      <c r="A9" s="15"/>
      <c r="B9" s="16" t="n">
        <f aca="false">IF(C9="","",2)</f>
        <v>2</v>
      </c>
      <c r="C9" s="17" t="str">
        <f aca="false">IFERROR(INDEX($K$6:$K$21,MATCH(2,$N$6:$N$21,0)),"")</f>
        <v>[Agropecuária] AGR-02 – Valor da produção das lavouras por área colhida (R$/ha)</v>
      </c>
      <c r="D9" s="18" t="n">
        <f aca="false">IFERROR(INDEX($M$6:$M$21,MATCH(2,$N$6:$N$21,0)),"")</f>
        <v>10834.24</v>
      </c>
      <c r="F9" s="19" t="n">
        <f aca="false">IF(G9="","",2)</f>
        <v>2</v>
      </c>
      <c r="G9" s="20" t="str">
        <f aca="false">IFERROR(INDEX($K$6:$K$21,MATCH(2,$O$6:$O$21,0)),"")</f>
        <v>[Indústria] IND-02 – Variação do emprego formal na indústria em 5 anos (%)</v>
      </c>
      <c r="H9" s="21" t="n">
        <f aca="false">IFERROR(INDEX($M$6:$M$21,MATCH(2,$O$6:$O$21,0)),"")</f>
        <v>-45.74</v>
      </c>
      <c r="K9" s="1" t="str">
        <f aca="false">Aux!B9</f>
        <v>[Agropecuária] AGR-04 – Estabelecimentos agropecuários que receberam assistência técnica (%)</v>
      </c>
      <c r="L9" s="1" t="str">
        <f aca="false">'Indicadores (F-W)'!S9</f>
        <v/>
      </c>
      <c r="M9" s="1" t="str">
        <f aca="false">IF('Indicadores (F-W)'!R9="","",'Indicadores (F-W)'!R9)</f>
        <v/>
      </c>
      <c r="N9" s="1" t="str">
        <f aca="false">IF(L9="Força",COUNTIF(L$6:L9,"Força"),"")</f>
        <v/>
      </c>
      <c r="O9" s="1" t="str">
        <f aca="false">IF(L9="Fraqueza",COUNTIF(L$6:L9,"Fraqueza"),"")</f>
        <v/>
      </c>
      <c r="Q9" s="1" t="str">
        <f aca="false">Aux!I9</f>
        <v>[Indústria] OP-04 – Agroindustrialização e verticalização (frigoríficos, laticínios, sucroenergético)</v>
      </c>
      <c r="R9" s="1" t="str">
        <f aca="false">Aux!J9</f>
        <v>Oportunidade</v>
      </c>
      <c r="S9" s="1" t="n">
        <f aca="false">IF('Fatores Externos (O-A)'!H9="","",'Fatores Externos (O-A)'!H9)</f>
        <v>1</v>
      </c>
      <c r="T9" s="1" t="n">
        <f aca="false">IF(AND(R9="Oportunidade",ISNUMBER(S9)),IF(S9&gt;=Parâmetros!$B$5,1,0),0)</f>
        <v>0</v>
      </c>
      <c r="U9" s="1" t="str">
        <f aca="false">IF(T9=1,SUM(T$6:T9),"")</f>
        <v/>
      </c>
      <c r="V9" s="1" t="n">
        <f aca="false">IF(AND(R9="Ameaça",ISNUMBER(S9)),IF(S9&gt;=Parâmetros!$B$5,1,0),0)</f>
        <v>0</v>
      </c>
      <c r="W9" s="1" t="str">
        <f aca="false">IF(V9=1,SUM(V$6:V9),"")</f>
        <v/>
      </c>
    </row>
    <row r="10" customFormat="false" ht="30" hidden="false" customHeight="true" outlineLevel="0" collapsed="false">
      <c r="A10" s="15"/>
      <c r="B10" s="16" t="n">
        <f aca="false">IF(C10="","",3)</f>
        <v>3</v>
      </c>
      <c r="C10" s="17" t="str">
        <f aca="false">IFERROR(INDEX($K$6:$K$21,MATCH(3,$N$6:$N$21,0)),"")</f>
        <v>[Comércio e Serviços] CS-02 – Variação do emprego formal em comércio e serviços em 5 anos (%)</v>
      </c>
      <c r="D10" s="18" t="n">
        <f aca="false">IFERROR(INDEX($M$6:$M$21,MATCH(3,$N$6:$N$21,0)),"")</f>
        <v>89.04</v>
      </c>
      <c r="F10" s="19" t="n">
        <f aca="false">IF(G10="","",3)</f>
        <v>3</v>
      </c>
      <c r="G10" s="20" t="str">
        <f aca="false">IFERROR(INDEX($K$6:$K$21,MATCH(3,$O$6:$O$21,0)),"")</f>
        <v>[Indústria] IND-03 – Remuneração média do emprego formal industrial (R$)</v>
      </c>
      <c r="H10" s="21" t="n">
        <f aca="false">IFERROR(INDEX($M$6:$M$21,MATCH(3,$O$6:$O$21,0)),"")</f>
        <v>1956.93</v>
      </c>
      <c r="K10" s="1" t="str">
        <f aca="false">Aux!B10</f>
        <v>[Agropecuária] AGR-05 – Diversificação agrícola (1 − HHI do valor da produção das lavouras) (índice 0–1)</v>
      </c>
      <c r="L10" s="1" t="str">
        <f aca="false">'Indicadores (F-W)'!S10</f>
        <v/>
      </c>
      <c r="M10" s="1" t="str">
        <f aca="false">IF('Indicadores (F-W)'!R10="","",'Indicadores (F-W)'!R10)</f>
        <v/>
      </c>
      <c r="N10" s="1" t="str">
        <f aca="false">IF(L10="Força",COUNTIF(L$6:L10,"Força"),"")</f>
        <v/>
      </c>
      <c r="O10" s="1" t="str">
        <f aca="false">IF(L10="Fraqueza",COUNTIF(L$6:L10,"Fraqueza"),"")</f>
        <v/>
      </c>
      <c r="Q10" s="1" t="str">
        <f aca="false">Aux!I10</f>
        <v>[Estrutura Econômica e Fiscal] OP-05 – Corredores logísticos (rodovias federais, ferrovia, hidrovia do Paraguai)</v>
      </c>
      <c r="R10" s="1" t="str">
        <f aca="false">Aux!J10</f>
        <v>Oportunidade</v>
      </c>
      <c r="S10" s="1" t="n">
        <f aca="false">IF('Fatores Externos (O-A)'!H10="","",'Fatores Externos (O-A)'!H10)</f>
        <v>1</v>
      </c>
      <c r="T10" s="1" t="n">
        <f aca="false">IF(AND(R10="Oportunidade",ISNUMBER(S10)),IF(S10&gt;=Parâmetros!$B$5,1,0),0)</f>
        <v>0</v>
      </c>
      <c r="U10" s="1" t="str">
        <f aca="false">IF(T10=1,SUM(T$6:T10),"")</f>
        <v/>
      </c>
      <c r="V10" s="1" t="n">
        <f aca="false">IF(AND(R10="Ameaça",ISNUMBER(S10)),IF(S10&gt;=Parâmetros!$B$5,1,0),0)</f>
        <v>0</v>
      </c>
      <c r="W10" s="1" t="str">
        <f aca="false">IF(V10=1,SUM(V$6:V10),"")</f>
        <v/>
      </c>
    </row>
    <row r="11" customFormat="false" ht="30" hidden="false" customHeight="true" outlineLevel="0" collapsed="false">
      <c r="A11" s="15"/>
      <c r="B11" s="16" t="str">
        <f aca="false">IF(C11="","",4)</f>
        <v/>
      </c>
      <c r="C11" s="17" t="str">
        <f aca="false">IFERROR(INDEX($K$6:$K$21,MATCH(4,$N$6:$N$21,0)),"")</f>
        <v/>
      </c>
      <c r="D11" s="18" t="str">
        <f aca="false">IFERROR(INDEX($M$6:$M$21,MATCH(4,$N$6:$N$21,0)),"")</f>
        <v/>
      </c>
      <c r="F11" s="19" t="n">
        <f aca="false">IF(G11="","",4)</f>
        <v>4</v>
      </c>
      <c r="G11" s="20" t="str">
        <f aca="false">IFERROR(INDEX($K$6:$K$21,MATCH(4,$O$6:$O$21,0)),"")</f>
        <v>[Comércio e Serviços] CS-01 – Quociente locacional do VAB de serviços, exceto adm. pública (base MT) (índice)</v>
      </c>
      <c r="H11" s="21" t="n">
        <f aca="false">IFERROR(INDEX($M$6:$M$21,MATCH(4,$O$6:$O$21,0)),"")</f>
        <v>0.5029</v>
      </c>
      <c r="K11" s="1" t="str">
        <f aca="false">Aux!B11</f>
        <v>[Indústria] IND-01 – Quociente locacional do VAB industrial (base MT) (índice)</v>
      </c>
      <c r="L11" s="1" t="str">
        <f aca="false">'Indicadores (F-W)'!S11</f>
        <v>Fraqueza</v>
      </c>
      <c r="M11" s="87" t="n">
        <f aca="false">IF('Indicadores (F-W)'!R11="","",'Indicadores (F-W)'!R11)</f>
        <v>0.4717</v>
      </c>
      <c r="N11" s="1" t="str">
        <f aca="false">IF(L11="Força",COUNTIF(L$6:L11,"Força"),"")</f>
        <v/>
      </c>
      <c r="O11" s="1" t="n">
        <f aca="false">IF(L11="Fraqueza",COUNTIF(L$6:L11,"Fraqueza"),"")</f>
        <v>1</v>
      </c>
      <c r="Q11" s="1" t="str">
        <f aca="false">Aux!I11</f>
        <v>[Estrutura Econômica e Fiscal] OP-06 – Instrumentos de fomento e financiamento (FCO, crédito rural, PSA, mercado de carbono)</v>
      </c>
      <c r="R11" s="1" t="str">
        <f aca="false">Aux!J11</f>
        <v>Oportunidade</v>
      </c>
      <c r="S11" s="1" t="n">
        <f aca="false">IF('Fatores Externos (O-A)'!H11="","",'Fatores Externos (O-A)'!H11)</f>
        <v>2</v>
      </c>
      <c r="T11" s="1" t="n">
        <f aca="false">IF(AND(R11="Oportunidade",ISNUMBER(S11)),IF(S11&gt;=Parâmetros!$B$5,1,0),0)</f>
        <v>1</v>
      </c>
      <c r="U11" s="1" t="n">
        <f aca="false">IF(T11=1,SUM(T$6:T11),"")</f>
        <v>2</v>
      </c>
      <c r="V11" s="1" t="n">
        <f aca="false">IF(AND(R11="Ameaça",ISNUMBER(S11)),IF(S11&gt;=Parâmetros!$B$5,1,0),0)</f>
        <v>0</v>
      </c>
      <c r="W11" s="1" t="str">
        <f aca="false">IF(V11=1,SUM(V$6:V11),"")</f>
        <v/>
      </c>
    </row>
    <row r="12" customFormat="false" ht="30" hidden="false" customHeight="true" outlineLevel="0" collapsed="false">
      <c r="A12" s="15"/>
      <c r="B12" s="16" t="str">
        <f aca="false">IF(C12="","",5)</f>
        <v/>
      </c>
      <c r="C12" s="17" t="str">
        <f aca="false">IFERROR(INDEX($K$6:$K$21,MATCH(5,$N$6:$N$21,0)),"")</f>
        <v/>
      </c>
      <c r="D12" s="18" t="str">
        <f aca="false">IFERROR(INDEX($M$6:$M$21,MATCH(5,$N$6:$N$21,0)),"")</f>
        <v/>
      </c>
      <c r="F12" s="19" t="n">
        <f aca="false">IF(G12="","",5)</f>
        <v>5</v>
      </c>
      <c r="G12" s="20" t="str">
        <f aca="false">IFERROR(INDEX($K$6:$K$21,MATCH(5,$O$6:$O$21,0)),"")</f>
        <v>[Comércio e Serviços] CS-03 – Empresas e outras organizações ativas por mil habitantes (un./mil hab.)</v>
      </c>
      <c r="H12" s="21" t="n">
        <f aca="false">IFERROR(INDEX($M$6:$M$21,MATCH(5,$O$6:$O$21,0)),"")</f>
        <v>15.95</v>
      </c>
      <c r="K12" s="1" t="str">
        <f aca="false">Aux!B12</f>
        <v>[Indústria] IND-02 – Variação do emprego formal na indústria em 5 anos (%)</v>
      </c>
      <c r="L12" s="1" t="str">
        <f aca="false">'Indicadores (F-W)'!S12</f>
        <v>Fraqueza</v>
      </c>
      <c r="M12" s="88" t="n">
        <f aca="false">IF('Indicadores (F-W)'!R12="","",'Indicadores (F-W)'!R12)</f>
        <v>-45.74</v>
      </c>
      <c r="N12" s="1" t="str">
        <f aca="false">IF(L12="Força",COUNTIF(L$6:L12,"Força"),"")</f>
        <v/>
      </c>
      <c r="O12" s="1" t="n">
        <f aca="false">IF(L12="Fraqueza",COUNTIF(L$6:L12,"Fraqueza"),"")</f>
        <v>2</v>
      </c>
      <c r="Q12" s="1" t="str">
        <f aca="false">Aux!I12</f>
        <v>[Agropecuária] AM-01 – Eventos climáticos extremos: secas prolongadas e incêndios no Pantanal</v>
      </c>
      <c r="R12" s="1" t="str">
        <f aca="false">Aux!J12</f>
        <v>Ameaça</v>
      </c>
      <c r="S12" s="1" t="n">
        <f aca="false">IF('Fatores Externos (O-A)'!H12="","",'Fatores Externos (O-A)'!H12)</f>
        <v>1</v>
      </c>
      <c r="T12" s="1" t="n">
        <f aca="false">IF(AND(R12="Oportunidade",ISNUMBER(S12)),IF(S12&gt;=Parâmetros!$B$5,1,0),0)</f>
        <v>0</v>
      </c>
      <c r="U12" s="1" t="str">
        <f aca="false">IF(T12=1,SUM(T$6:T12),"")</f>
        <v/>
      </c>
      <c r="V12" s="1" t="n">
        <f aca="false">IF(AND(R12="Ameaça",ISNUMBER(S12)),IF(S12&gt;=Parâmetros!$B$5,1,0),0)</f>
        <v>0</v>
      </c>
      <c r="W12" s="1" t="str">
        <f aca="false">IF(V12=1,SUM(V$6:V12),"")</f>
        <v/>
      </c>
    </row>
    <row r="13" customFormat="false" ht="30" hidden="false" customHeight="true" outlineLevel="0" collapsed="false">
      <c r="A13" s="15"/>
      <c r="B13" s="16" t="str">
        <f aca="false">IF(C13="","",6)</f>
        <v/>
      </c>
      <c r="C13" s="17" t="str">
        <f aca="false">IFERROR(INDEX($K$6:$K$21,MATCH(6,$N$6:$N$21,0)),"")</f>
        <v/>
      </c>
      <c r="D13" s="18" t="str">
        <f aca="false">IFERROR(INDEX($M$6:$M$21,MATCH(6,$N$6:$N$21,0)),"")</f>
        <v/>
      </c>
      <c r="F13" s="19" t="n">
        <f aca="false">IF(G13="","",6)</f>
        <v>6</v>
      </c>
      <c r="G13" s="20" t="str">
        <f aca="false">IFERROR(INDEX($K$6:$K$21,MATCH(6,$O$6:$O$21,0)),"")</f>
        <v>[Estrutura Econômica e Fiscal] EST-01 – PIB per capita (R$)</v>
      </c>
      <c r="H13" s="21" t="n">
        <f aca="false">IFERROR(INDEX($M$6:$M$21,MATCH(6,$O$6:$O$21,0)),"")</f>
        <v>27693.14</v>
      </c>
      <c r="K13" s="1" t="str">
        <f aca="false">Aux!B13</f>
        <v>[Indústria] IND-03 – Remuneração média do emprego formal industrial (R$)</v>
      </c>
      <c r="L13" s="1" t="str">
        <f aca="false">'Indicadores (F-W)'!S13</f>
        <v>Fraqueza</v>
      </c>
      <c r="M13" s="88" t="n">
        <f aca="false">IF('Indicadores (F-W)'!R13="","",'Indicadores (F-W)'!R13)</f>
        <v>1956.93</v>
      </c>
      <c r="N13" s="1" t="str">
        <f aca="false">IF(L13="Força",COUNTIF(L$6:L13,"Força"),"")</f>
        <v/>
      </c>
      <c r="O13" s="1" t="n">
        <f aca="false">IF(L13="Fraqueza",COUNTIF(L$6:L13,"Fraqueza"),"")</f>
        <v>3</v>
      </c>
      <c r="Q13" s="1" t="str">
        <f aca="false">Aux!I13</f>
        <v>[Agropecuária] AM-02 – Volatilidade de preços de commodities (boi gordo, soja, milho)</v>
      </c>
      <c r="R13" s="1" t="str">
        <f aca="false">Aux!J13</f>
        <v>Ameaça</v>
      </c>
      <c r="S13" s="1" t="n">
        <f aca="false">IF('Fatores Externos (O-A)'!H13="","",'Fatores Externos (O-A)'!H13)</f>
        <v>2</v>
      </c>
      <c r="T13" s="1" t="n">
        <f aca="false">IF(AND(R13="Oportunidade",ISNUMBER(S13)),IF(S13&gt;=Parâmetros!$B$5,1,0),0)</f>
        <v>0</v>
      </c>
      <c r="U13" s="1" t="str">
        <f aca="false">IF(T13=1,SUM(T$6:T13),"")</f>
        <v/>
      </c>
      <c r="V13" s="1" t="n">
        <f aca="false">IF(AND(R13="Ameaça",ISNUMBER(S13)),IF(S13&gt;=Parâmetros!$B$5,1,0),0)</f>
        <v>1</v>
      </c>
      <c r="W13" s="1" t="n">
        <f aca="false">IF(V13=1,SUM(V$6:V13),"")</f>
        <v>1</v>
      </c>
    </row>
    <row r="14" customFormat="false" ht="30" hidden="false" customHeight="true" outlineLevel="0" collapsed="false">
      <c r="A14" s="15"/>
      <c r="B14" s="16" t="str">
        <f aca="false">IF(C14="","",7)</f>
        <v/>
      </c>
      <c r="C14" s="17" t="str">
        <f aca="false">IFERROR(INDEX($K$6:$K$21,MATCH(7,$N$6:$N$21,0)),"")</f>
        <v/>
      </c>
      <c r="D14" s="18" t="str">
        <f aca="false">IFERROR(INDEX($M$6:$M$21,MATCH(7,$N$6:$N$21,0)),"")</f>
        <v/>
      </c>
      <c r="F14" s="19" t="n">
        <f aca="false">IF(G14="","",7)</f>
        <v>7</v>
      </c>
      <c r="G14" s="20" t="str">
        <f aca="false">IFERROR(INDEX($K$6:$K$21,MATCH(7,$O$6:$O$21,0)),"")</f>
        <v>[Estrutura Econômica e Fiscal] EST-02 – Participação da administração pública no VAB total (%)</v>
      </c>
      <c r="H14" s="21" t="n">
        <f aca="false">IFERROR(INDEX($M$6:$M$21,MATCH(7,$O$6:$O$21,0)),"")</f>
        <v>29.61</v>
      </c>
      <c r="K14" s="1" t="str">
        <f aca="false">Aux!B14</f>
        <v>[Comércio e Serviços] CS-01 – Quociente locacional do VAB de serviços, exceto adm. pública (base MT) (índice)</v>
      </c>
      <c r="L14" s="1" t="str">
        <f aca="false">'Indicadores (F-W)'!S14</f>
        <v>Fraqueza</v>
      </c>
      <c r="M14" s="87" t="n">
        <f aca="false">IF('Indicadores (F-W)'!R14="","",'Indicadores (F-W)'!R14)</f>
        <v>0.5029</v>
      </c>
      <c r="N14" s="1" t="str">
        <f aca="false">IF(L14="Força",COUNTIF(L$6:L14,"Força"),"")</f>
        <v/>
      </c>
      <c r="O14" s="1" t="n">
        <f aca="false">IF(L14="Fraqueza",COUNTIF(L$6:L14,"Fraqueza"),"")</f>
        <v>4</v>
      </c>
      <c r="Q14" s="1" t="str">
        <f aca="false">Aux!I14</f>
        <v>[Agropecuária] AM-03 – Exigências ambientais de mercados importadores e barreiras ligadas a desmatamento (ex.: EUDR)</v>
      </c>
      <c r="R14" s="1" t="str">
        <f aca="false">Aux!J14</f>
        <v>Ameaça</v>
      </c>
      <c r="S14" s="1" t="n">
        <f aca="false">IF('Fatores Externos (O-A)'!H14="","",'Fatores Externos (O-A)'!H14)</f>
        <v>2</v>
      </c>
      <c r="T14" s="1" t="n">
        <f aca="false">IF(AND(R14="Oportunidade",ISNUMBER(S14)),IF(S14&gt;=Parâmetros!$B$5,1,0),0)</f>
        <v>0</v>
      </c>
      <c r="U14" s="1" t="str">
        <f aca="false">IF(T14=1,SUM(T$6:T14),"")</f>
        <v/>
      </c>
      <c r="V14" s="1" t="n">
        <f aca="false">IF(AND(R14="Ameaça",ISNUMBER(S14)),IF(S14&gt;=Parâmetros!$B$5,1,0),0)</f>
        <v>1</v>
      </c>
      <c r="W14" s="1" t="n">
        <f aca="false">IF(V14=1,SUM(V$6:V14),"")</f>
        <v>2</v>
      </c>
    </row>
    <row r="15" customFormat="false" ht="30" hidden="false" customHeight="true" outlineLevel="0" collapsed="false">
      <c r="A15" s="15"/>
      <c r="B15" s="16" t="str">
        <f aca="false">IF(C15="","",8)</f>
        <v/>
      </c>
      <c r="C15" s="17" t="str">
        <f aca="false">IFERROR(INDEX($K$6:$K$21,MATCH(8,$N$6:$N$21,0)),"")</f>
        <v/>
      </c>
      <c r="D15" s="18" t="str">
        <f aca="false">IFERROR(INDEX($M$6:$M$21,MATCH(8,$N$6:$N$21,0)),"")</f>
        <v/>
      </c>
      <c r="F15" s="19" t="n">
        <f aca="false">IF(G15="","",8)</f>
        <v>8</v>
      </c>
      <c r="G15" s="20" t="str">
        <f aca="false">IFERROR(INDEX($K$6:$K$21,MATCH(8,$O$6:$O$21,0)),"")</f>
        <v>[Estrutura Econômica e Fiscal] EST-03 – Vínculos formais por 100 habitantes (vínculos/100 hab.)</v>
      </c>
      <c r="H15" s="21" t="n">
        <f aca="false">IFERROR(INDEX($M$6:$M$21,MATCH(8,$O$6:$O$21,0)),"")</f>
        <v>11.88</v>
      </c>
      <c r="K15" s="1" t="str">
        <f aca="false">Aux!B15</f>
        <v>[Comércio e Serviços] CS-02 – Variação do emprego formal em comércio e serviços em 5 anos (%)</v>
      </c>
      <c r="L15" s="1" t="str">
        <f aca="false">'Indicadores (F-W)'!S15</f>
        <v>Força</v>
      </c>
      <c r="M15" s="88" t="n">
        <f aca="false">IF('Indicadores (F-W)'!R15="","",'Indicadores (F-W)'!R15)</f>
        <v>89.04</v>
      </c>
      <c r="N15" s="1" t="n">
        <f aca="false">IF(L15="Força",COUNTIF(L$6:L15,"Força"),"")</f>
        <v>3</v>
      </c>
      <c r="O15" s="1" t="str">
        <f aca="false">IF(L15="Fraqueza",COUNTIF(L$6:L15,"Fraqueza"),"")</f>
        <v/>
      </c>
      <c r="Q15" s="1" t="str">
        <f aca="false">Aux!I15</f>
        <v>[Estrutura Econômica e Fiscal] AM-04 – Transição da Reforma Tributária (IBS/CBS) e efeitos sobre a repartição de receitas municipais</v>
      </c>
      <c r="R15" s="1" t="str">
        <f aca="false">Aux!J15</f>
        <v>Ameaça</v>
      </c>
      <c r="S15" s="1" t="n">
        <f aca="false">IF('Fatores Externos (O-A)'!H15="","",'Fatores Externos (O-A)'!H15)</f>
        <v>1</v>
      </c>
      <c r="T15" s="1" t="n">
        <f aca="false">IF(AND(R15="Oportunidade",ISNUMBER(S15)),IF(S15&gt;=Parâmetros!$B$5,1,0),0)</f>
        <v>0</v>
      </c>
      <c r="U15" s="1" t="str">
        <f aca="false">IF(T15=1,SUM(T$6:T15),"")</f>
        <v/>
      </c>
      <c r="V15" s="1" t="n">
        <f aca="false">IF(AND(R15="Ameaça",ISNUMBER(S15)),IF(S15&gt;=Parâmetros!$B$5,1,0),0)</f>
        <v>0</v>
      </c>
      <c r="W15" s="1" t="str">
        <f aca="false">IF(V15=1,SUM(V$6:V15),"")</f>
        <v/>
      </c>
    </row>
    <row r="16" customFormat="false" ht="30" hidden="false" customHeight="true" outlineLevel="0" collapsed="false">
      <c r="A16" s="15"/>
      <c r="B16" s="16" t="str">
        <f aca="false">IF(C16="","",9)</f>
        <v/>
      </c>
      <c r="C16" s="17" t="str">
        <f aca="false">IFERROR(INDEX($K$6:$K$21,MATCH(9,$N$6:$N$21,0)),"")</f>
        <v/>
      </c>
      <c r="D16" s="18" t="str">
        <f aca="false">IFERROR(INDEX($M$6:$M$21,MATCH(9,$N$6:$N$21,0)),"")</f>
        <v/>
      </c>
      <c r="F16" s="19" t="n">
        <f aca="false">IF(G16="","",9)</f>
        <v>9</v>
      </c>
      <c r="G16" s="20" t="str">
        <f aca="false">IFERROR(INDEX($K$6:$K$21,MATCH(9,$O$6:$O$21,0)),"")</f>
        <v>[Estrutura Econômica e Fiscal] EST-04 – Concentração setorial do emprego formal (HHI por seção CNAE) (índice 0–1)</v>
      </c>
      <c r="H16" s="21" t="n">
        <f aca="false">IFERROR(INDEX($M$6:$M$21,MATCH(9,$O$6:$O$21,0)),"")</f>
        <v>0.1849</v>
      </c>
      <c r="K16" s="1" t="str">
        <f aca="false">Aux!B16</f>
        <v>[Comércio e Serviços] CS-03 – Empresas e outras organizações ativas por mil habitantes (un./mil hab.)</v>
      </c>
      <c r="L16" s="1" t="str">
        <f aca="false">'Indicadores (F-W)'!S16</f>
        <v>Fraqueza</v>
      </c>
      <c r="M16" s="88" t="n">
        <f aca="false">IF('Indicadores (F-W)'!R16="","",'Indicadores (F-W)'!R16)</f>
        <v>15.95</v>
      </c>
      <c r="N16" s="1" t="str">
        <f aca="false">IF(L16="Força",COUNTIF(L$6:L16,"Força"),"")</f>
        <v/>
      </c>
      <c r="O16" s="1" t="n">
        <f aca="false">IF(L16="Fraqueza",COUNTIF(L$6:L16,"Fraqueza"),"")</f>
        <v>5</v>
      </c>
      <c r="Q16" s="1" t="str">
        <f aca="false">Aux!I16</f>
        <v>[Comércio e Serviços] AM-05 – Polarização regional por centros maiores (evasão de consumo, serviços e mão de obra)</v>
      </c>
      <c r="R16" s="1" t="str">
        <f aca="false">Aux!J16</f>
        <v>Ameaça</v>
      </c>
      <c r="S16" s="1" t="n">
        <f aca="false">IF('Fatores Externos (O-A)'!H16="","",'Fatores Externos (O-A)'!H16)</f>
        <v>3</v>
      </c>
      <c r="T16" s="1" t="n">
        <f aca="false">IF(AND(R16="Oportunidade",ISNUMBER(S16)),IF(S16&gt;=Parâmetros!$B$5,1,0),0)</f>
        <v>0</v>
      </c>
      <c r="U16" s="1" t="str">
        <f aca="false">IF(T16=1,SUM(T$6:T16),"")</f>
        <v/>
      </c>
      <c r="V16" s="1" t="n">
        <f aca="false">IF(AND(R16="Ameaça",ISNUMBER(S16)),IF(S16&gt;=Parâmetros!$B$5,1,0),0)</f>
        <v>1</v>
      </c>
      <c r="W16" s="1" t="n">
        <f aca="false">IF(V16=1,SUM(V$6:V16),"")</f>
        <v>3</v>
      </c>
    </row>
    <row r="17" customFormat="false" ht="30" hidden="false" customHeight="true" outlineLevel="0" collapsed="false">
      <c r="A17" s="15"/>
      <c r="B17" s="16" t="str">
        <f aca="false">IF(C17="","",10)</f>
        <v/>
      </c>
      <c r="C17" s="17" t="str">
        <f aca="false">IFERROR(INDEX($K$6:$K$21,MATCH(10,$N$6:$N$21,0)),"")</f>
        <v/>
      </c>
      <c r="D17" s="18" t="str">
        <f aca="false">IFERROR(INDEX($M$6:$M$21,MATCH(10,$N$6:$N$21,0)),"")</f>
        <v/>
      </c>
      <c r="F17" s="19" t="n">
        <f aca="false">IF(G17="","",10)</f>
        <v>10</v>
      </c>
      <c r="G17" s="20" t="str">
        <f aca="false">IFERROR(INDEX($K$6:$K$21,MATCH(10,$O$6:$O$21,0)),"")</f>
        <v>[Estrutura Econômica e Fiscal] EST-05 – Receitas próprias / receita corrente (%)</v>
      </c>
      <c r="H17" s="21" t="n">
        <f aca="false">IFERROR(INDEX($M$6:$M$21,MATCH(10,$O$6:$O$21,0)),"")</f>
        <v>5.5</v>
      </c>
      <c r="K17" s="1" t="str">
        <f aca="false">Aux!B17</f>
        <v>[Estrutura Econômica e Fiscal] EST-01 – PIB per capita (R$)</v>
      </c>
      <c r="L17" s="1" t="str">
        <f aca="false">'Indicadores (F-W)'!S17</f>
        <v>Fraqueza</v>
      </c>
      <c r="M17" s="89" t="n">
        <f aca="false">IF('Indicadores (F-W)'!R17="","",'Indicadores (F-W)'!R17)</f>
        <v>27693.14</v>
      </c>
      <c r="N17" s="1" t="str">
        <f aca="false">IF(L17="Força",COUNTIF(L$6:L17,"Força"),"")</f>
        <v/>
      </c>
      <c r="O17" s="1" t="n">
        <f aca="false">IF(L17="Fraqueza",COUNTIF(L$6:L17,"Fraqueza"),"")</f>
        <v>6</v>
      </c>
    </row>
    <row r="18" customFormat="false" ht="30" hidden="false" customHeight="true" outlineLevel="0" collapsed="false">
      <c r="A18" s="15"/>
      <c r="B18" s="16" t="str">
        <f aca="false">IF(C18="","",11)</f>
        <v/>
      </c>
      <c r="C18" s="17" t="str">
        <f aca="false">IFERROR(INDEX($K$6:$K$21,MATCH(11,$N$6:$N$21,0)),"")</f>
        <v/>
      </c>
      <c r="D18" s="18" t="str">
        <f aca="false">IFERROR(INDEX($M$6:$M$21,MATCH(11,$N$6:$N$21,0)),"")</f>
        <v/>
      </c>
      <c r="F18" s="19" t="str">
        <f aca="false">IF(G18="","",11)</f>
        <v/>
      </c>
      <c r="G18" s="20" t="str">
        <f aca="false">IFERROR(INDEX($K$6:$K$21,MATCH(11,$O$6:$O$21,0)),"")</f>
        <v/>
      </c>
      <c r="H18" s="21" t="str">
        <f aca="false">IFERROR(INDEX($M$6:$M$21,MATCH(11,$O$6:$O$21,0)),"")</f>
        <v/>
      </c>
      <c r="K18" s="1" t="str">
        <f aca="false">Aux!B18</f>
        <v>[Estrutura Econômica e Fiscal] EST-02 – Participação da administração pública no VAB total (%)</v>
      </c>
      <c r="L18" s="1" t="str">
        <f aca="false">'Indicadores (F-W)'!S18</f>
        <v>Fraqueza</v>
      </c>
      <c r="M18" s="90" t="n">
        <f aca="false">IF('Indicadores (F-W)'!R18="","",'Indicadores (F-W)'!R18)</f>
        <v>29.61</v>
      </c>
      <c r="N18" s="1" t="str">
        <f aca="false">IF(L18="Força",COUNTIF(L$6:L18,"Força"),"")</f>
        <v/>
      </c>
      <c r="O18" s="1" t="n">
        <f aca="false">IF(L18="Fraqueza",COUNTIF(L$6:L18,"Fraqueza"),"")</f>
        <v>7</v>
      </c>
    </row>
    <row r="19" customFormat="false" ht="30" hidden="false" customHeight="true" outlineLevel="0" collapsed="false">
      <c r="A19" s="15"/>
      <c r="B19" s="16" t="str">
        <f aca="false">IF(C19="","",12)</f>
        <v/>
      </c>
      <c r="C19" s="17" t="str">
        <f aca="false">IFERROR(INDEX($K$6:$K$21,MATCH(12,$N$6:$N$21,0)),"")</f>
        <v/>
      </c>
      <c r="D19" s="18" t="str">
        <f aca="false">IFERROR(INDEX($M$6:$M$21,MATCH(12,$N$6:$N$21,0)),"")</f>
        <v/>
      </c>
      <c r="F19" s="19" t="str">
        <f aca="false">IF(G19="","",12)</f>
        <v/>
      </c>
      <c r="G19" s="20" t="str">
        <f aca="false">IFERROR(INDEX($K$6:$K$21,MATCH(12,$O$6:$O$21,0)),"")</f>
        <v/>
      </c>
      <c r="H19" s="21" t="str">
        <f aca="false">IFERROR(INDEX($M$6:$M$21,MATCH(12,$O$6:$O$21,0)),"")</f>
        <v/>
      </c>
      <c r="K19" s="1" t="str">
        <f aca="false">Aux!B19</f>
        <v>[Estrutura Econômica e Fiscal] EST-03 – Vínculos formais por 100 habitantes (vínculos/100 hab.)</v>
      </c>
      <c r="L19" s="1" t="str">
        <f aca="false">'Indicadores (F-W)'!S19</f>
        <v>Fraqueza</v>
      </c>
      <c r="M19" s="88" t="n">
        <f aca="false">IF('Indicadores (F-W)'!R19="","",'Indicadores (F-W)'!R19)</f>
        <v>11.88</v>
      </c>
      <c r="N19" s="1" t="str">
        <f aca="false">IF(L19="Força",COUNTIF(L$6:L19,"Força"),"")</f>
        <v/>
      </c>
      <c r="O19" s="1" t="n">
        <f aca="false">IF(L19="Fraqueza",COUNTIF(L$6:L19,"Fraqueza"),"")</f>
        <v>8</v>
      </c>
    </row>
    <row r="20" customFormat="false" ht="15" hidden="false" customHeight="true" outlineLevel="0" collapsed="false">
      <c r="C20" s="22" t="str">
        <f aca="false">IF(COUNTIF($L$6:$L$21,"Força")&gt;12,"+ "&amp;(COUNTIF($L$6:$L$21,"Força")-12)&amp;" item(ns) não exibido(s)","")</f>
        <v/>
      </c>
      <c r="G20" s="22" t="str">
        <f aca="false">IF(COUNTIF($L$6:$L$21,"Fraqueza")&gt;12,"+ "&amp;(COUNTIF($L$6:$L$21,"Fraqueza")-12)&amp;" item(ns) não exibido(s)","")</f>
        <v/>
      </c>
      <c r="K20" s="1" t="str">
        <f aca="false">Aux!B20</f>
        <v>[Estrutura Econômica e Fiscal] EST-04 – Concentração setorial do emprego formal (HHI por seção CNAE) (índice 0–1)</v>
      </c>
      <c r="L20" s="1" t="str">
        <f aca="false">'Indicadores (F-W)'!S20</f>
        <v>Fraqueza</v>
      </c>
      <c r="M20" s="93" t="n">
        <f aca="false">IF('Indicadores (F-W)'!R20="","",'Indicadores (F-W)'!R20)</f>
        <v>0.1849</v>
      </c>
      <c r="N20" s="1" t="str">
        <f aca="false">IF(L20="Força",COUNTIF(L$6:L20,"Força"),"")</f>
        <v/>
      </c>
      <c r="O20" s="1" t="n">
        <f aca="false">IF(L20="Fraqueza",COUNTIF(L$6:L20,"Fraqueza"),"")</f>
        <v>9</v>
      </c>
    </row>
    <row r="21" customFormat="false" ht="15" hidden="false" customHeight="true" outlineLevel="0" collapsed="false">
      <c r="K21" s="1" t="str">
        <f aca="false">Aux!B21</f>
        <v>[Estrutura Econômica e Fiscal] EST-05 – Receitas próprias / receita corrente (%)</v>
      </c>
      <c r="L21" s="1" t="str">
        <f aca="false">'Indicadores (F-W)'!S21</f>
        <v>Fraqueza</v>
      </c>
      <c r="M21" s="88" t="n">
        <f aca="false">IF('Indicadores (F-W)'!R21="","",'Indicadores (F-W)'!R21)</f>
        <v>5.5</v>
      </c>
      <c r="N21" s="1" t="str">
        <f aca="false">IF(L21="Força",COUNTIF(L$6:L21,"Força"),"")</f>
        <v/>
      </c>
      <c r="O21" s="1" t="n">
        <f aca="false">IF(L21="Fraqueza",COUNTIF(L$6:L21,"Fraqueza"),"")</f>
        <v>10</v>
      </c>
    </row>
    <row r="22" customFormat="false" ht="15" hidden="false" customHeight="true" outlineLevel="0" collapsed="false">
      <c r="B22" s="23" t="str">
        <f aca="false">"OPORTUNIDADES (O) — "&amp;SUM($T$6:$T$16)&amp;" item(ns)"</f>
        <v>OPORTUNIDADES (O) — 2 item(ns)</v>
      </c>
      <c r="C22" s="23"/>
      <c r="D22" s="23"/>
      <c r="F22" s="24" t="str">
        <f aca="false">"AMEAÇAS (T) — "&amp;SUM($V$6:$V$16)&amp;" item(ns)"</f>
        <v>AMEAÇAS (T) — 3 item(ns)</v>
      </c>
      <c r="G22" s="24"/>
      <c r="H22" s="24"/>
    </row>
    <row r="23" customFormat="false" ht="15" hidden="false" customHeight="true" outlineLevel="0" collapsed="false">
      <c r="B23" s="25" t="s">
        <v>29</v>
      </c>
      <c r="C23" s="25" t="s">
        <v>30</v>
      </c>
      <c r="D23" s="25" t="s">
        <v>33</v>
      </c>
      <c r="F23" s="26" t="s">
        <v>29</v>
      </c>
      <c r="G23" s="26" t="s">
        <v>30</v>
      </c>
      <c r="H23" s="26" t="s">
        <v>33</v>
      </c>
    </row>
    <row r="24" customFormat="false" ht="30" hidden="false" customHeight="true" outlineLevel="0" collapsed="false">
      <c r="A24" s="15" t="s">
        <v>34</v>
      </c>
      <c r="B24" s="27" t="n">
        <f aca="false">IF(C24="","",1)</f>
        <v>1</v>
      </c>
      <c r="C24" s="28" t="str">
        <f aca="false">IFERROR(INDEX($Q$6:$Q$16,MATCH(1,$U$6:$U$16,0)),"")</f>
        <v>[Agropecuária] OP-01 – Demanda externa por carne bovina e proteína animal</v>
      </c>
      <c r="D24" s="29" t="n">
        <f aca="false">IFERROR(INDEX($S$6:$S$16,MATCH(1,$U$6:$U$16,0)),"")</f>
        <v>2</v>
      </c>
      <c r="F24" s="30" t="n">
        <f aca="false">IF(G24="","",1)</f>
        <v>1</v>
      </c>
      <c r="G24" s="31" t="str">
        <f aca="false">IFERROR(INDEX($Q$6:$Q$16,MATCH(1,$W$6:$W$16,0)),"")</f>
        <v>[Agropecuária] AM-02 – Volatilidade de preços de commodities (boi gordo, soja, milho)</v>
      </c>
      <c r="H24" s="32" t="n">
        <f aca="false">IFERROR(INDEX($S$6:$S$16,MATCH(1,$W$6:$W$16,0)),"")</f>
        <v>2</v>
      </c>
    </row>
    <row r="25" customFormat="false" ht="30" hidden="false" customHeight="true" outlineLevel="0" collapsed="false">
      <c r="A25" s="15"/>
      <c r="B25" s="27" t="n">
        <f aca="false">IF(C25="","",2)</f>
        <v>2</v>
      </c>
      <c r="C25" s="28" t="str">
        <f aca="false">IFERROR(INDEX($Q$6:$Q$16,MATCH(2,$U$6:$U$16,0)),"")</f>
        <v>[Estrutura Econômica e Fiscal] OP-06 – Instrumentos de fomento e financiamento (FCO, crédito rural, PSA, mercado de carbono)</v>
      </c>
      <c r="D25" s="29" t="n">
        <f aca="false">IFERROR(INDEX($S$6:$S$16,MATCH(2,$U$6:$U$16,0)),"")</f>
        <v>2</v>
      </c>
      <c r="F25" s="30" t="n">
        <f aca="false">IF(G25="","",2)</f>
        <v>2</v>
      </c>
      <c r="G25" s="31" t="str">
        <f aca="false">IFERROR(INDEX($Q$6:$Q$16,MATCH(2,$W$6:$W$16,0)),"")</f>
        <v>[Agropecuária] AM-03 – Exigências ambientais de mercados importadores e barreiras ligadas a desmatamento (ex.: EUDR)</v>
      </c>
      <c r="H25" s="32" t="n">
        <f aca="false">IFERROR(INDEX($S$6:$S$16,MATCH(2,$W$6:$W$16,0)),"")</f>
        <v>2</v>
      </c>
    </row>
    <row r="26" customFormat="false" ht="30" hidden="false" customHeight="true" outlineLevel="0" collapsed="false">
      <c r="A26" s="15"/>
      <c r="B26" s="27" t="str">
        <f aca="false">IF(C26="","",3)</f>
        <v/>
      </c>
      <c r="C26" s="28" t="str">
        <f aca="false">IFERROR(INDEX($Q$6:$Q$16,MATCH(3,$U$6:$U$16,0)),"")</f>
        <v/>
      </c>
      <c r="D26" s="29" t="str">
        <f aca="false">IFERROR(INDEX($S$6:$S$16,MATCH(3,$U$6:$U$16,0)),"")</f>
        <v/>
      </c>
      <c r="F26" s="30" t="n">
        <f aca="false">IF(G26="","",3)</f>
        <v>3</v>
      </c>
      <c r="G26" s="31" t="str">
        <f aca="false">IFERROR(INDEX($Q$6:$Q$16,MATCH(3,$W$6:$W$16,0)),"")</f>
        <v>[Comércio e Serviços] AM-05 – Polarização regional por centros maiores (evasão de consumo, serviços e mão de obra)</v>
      </c>
      <c r="H26" s="32" t="n">
        <f aca="false">IFERROR(INDEX($S$6:$S$16,MATCH(3,$W$6:$W$16,0)),"")</f>
        <v>3</v>
      </c>
    </row>
    <row r="27" customFormat="false" ht="30" hidden="false" customHeight="true" outlineLevel="0" collapsed="false">
      <c r="A27" s="15"/>
      <c r="B27" s="27" t="str">
        <f aca="false">IF(C27="","",4)</f>
        <v/>
      </c>
      <c r="C27" s="28" t="str">
        <f aca="false">IFERROR(INDEX($Q$6:$Q$16,MATCH(4,$U$6:$U$16,0)),"")</f>
        <v/>
      </c>
      <c r="D27" s="29" t="str">
        <f aca="false">IFERROR(INDEX($S$6:$S$16,MATCH(4,$U$6:$U$16,0)),"")</f>
        <v/>
      </c>
      <c r="F27" s="30" t="str">
        <f aca="false">IF(G27="","",4)</f>
        <v/>
      </c>
      <c r="G27" s="31" t="str">
        <f aca="false">IFERROR(INDEX($Q$6:$Q$16,MATCH(4,$W$6:$W$16,0)),"")</f>
        <v/>
      </c>
      <c r="H27" s="32" t="str">
        <f aca="false">IFERROR(INDEX($S$6:$S$16,MATCH(4,$W$6:$W$16,0)),"")</f>
        <v/>
      </c>
    </row>
    <row r="28" customFormat="false" ht="30" hidden="false" customHeight="true" outlineLevel="0" collapsed="false">
      <c r="A28" s="15"/>
      <c r="B28" s="27" t="str">
        <f aca="false">IF(C28="","",5)</f>
        <v/>
      </c>
      <c r="C28" s="28" t="str">
        <f aca="false">IFERROR(INDEX($Q$6:$Q$16,MATCH(5,$U$6:$U$16,0)),"")</f>
        <v/>
      </c>
      <c r="D28" s="29" t="str">
        <f aca="false">IFERROR(INDEX($S$6:$S$16,MATCH(5,$U$6:$U$16,0)),"")</f>
        <v/>
      </c>
      <c r="F28" s="30" t="str">
        <f aca="false">IF(G28="","",5)</f>
        <v/>
      </c>
      <c r="G28" s="31" t="str">
        <f aca="false">IFERROR(INDEX($Q$6:$Q$16,MATCH(5,$W$6:$W$16,0)),"")</f>
        <v/>
      </c>
      <c r="H28" s="32" t="str">
        <f aca="false">IFERROR(INDEX($S$6:$S$16,MATCH(5,$W$6:$W$16,0)),"")</f>
        <v/>
      </c>
    </row>
    <row r="29" customFormat="false" ht="30" hidden="false" customHeight="true" outlineLevel="0" collapsed="false">
      <c r="A29" s="15"/>
      <c r="B29" s="27" t="str">
        <f aca="false">IF(C29="","",6)</f>
        <v/>
      </c>
      <c r="C29" s="28" t="str">
        <f aca="false">IFERROR(INDEX($Q$6:$Q$16,MATCH(6,$U$6:$U$16,0)),"")</f>
        <v/>
      </c>
      <c r="D29" s="29" t="str">
        <f aca="false">IFERROR(INDEX($S$6:$S$16,MATCH(6,$U$6:$U$16,0)),"")</f>
        <v/>
      </c>
      <c r="F29" s="30" t="str">
        <f aca="false">IF(G29="","",6)</f>
        <v/>
      </c>
      <c r="G29" s="31" t="str">
        <f aca="false">IFERROR(INDEX($Q$6:$Q$16,MATCH(6,$W$6:$W$16,0)),"")</f>
        <v/>
      </c>
      <c r="H29" s="32" t="str">
        <f aca="false">IFERROR(INDEX($S$6:$S$16,MATCH(6,$W$6:$W$16,0)),"")</f>
        <v/>
      </c>
    </row>
    <row r="30" customFormat="false" ht="30" hidden="false" customHeight="true" outlineLevel="0" collapsed="false">
      <c r="A30" s="15"/>
      <c r="B30" s="27" t="str">
        <f aca="false">IF(C30="","",7)</f>
        <v/>
      </c>
      <c r="C30" s="28" t="str">
        <f aca="false">IFERROR(INDEX($Q$6:$Q$16,MATCH(7,$U$6:$U$16,0)),"")</f>
        <v/>
      </c>
      <c r="D30" s="29" t="str">
        <f aca="false">IFERROR(INDEX($S$6:$S$16,MATCH(7,$U$6:$U$16,0)),"")</f>
        <v/>
      </c>
      <c r="F30" s="30" t="str">
        <f aca="false">IF(G30="","",7)</f>
        <v/>
      </c>
      <c r="G30" s="31" t="str">
        <f aca="false">IFERROR(INDEX($Q$6:$Q$16,MATCH(7,$W$6:$W$16,0)),"")</f>
        <v/>
      </c>
      <c r="H30" s="32" t="str">
        <f aca="false">IFERROR(INDEX($S$6:$S$16,MATCH(7,$W$6:$W$16,0)),"")</f>
        <v/>
      </c>
    </row>
    <row r="31" customFormat="false" ht="30" hidden="false" customHeight="true" outlineLevel="0" collapsed="false">
      <c r="A31" s="15"/>
      <c r="B31" s="27" t="str">
        <f aca="false">IF(C31="","",8)</f>
        <v/>
      </c>
      <c r="C31" s="28" t="str">
        <f aca="false">IFERROR(INDEX($Q$6:$Q$16,MATCH(8,$U$6:$U$16,0)),"")</f>
        <v/>
      </c>
      <c r="D31" s="29" t="str">
        <f aca="false">IFERROR(INDEX($S$6:$S$16,MATCH(8,$U$6:$U$16,0)),"")</f>
        <v/>
      </c>
      <c r="F31" s="30" t="str">
        <f aca="false">IF(G31="","",8)</f>
        <v/>
      </c>
      <c r="G31" s="31" t="str">
        <f aca="false">IFERROR(INDEX($Q$6:$Q$16,MATCH(8,$W$6:$W$16,0)),"")</f>
        <v/>
      </c>
      <c r="H31" s="32" t="str">
        <f aca="false">IFERROR(INDEX($S$6:$S$16,MATCH(8,$W$6:$W$16,0)),"")</f>
        <v/>
      </c>
    </row>
    <row r="32" customFormat="false" ht="30" hidden="false" customHeight="true" outlineLevel="0" collapsed="false">
      <c r="A32" s="15"/>
      <c r="B32" s="27" t="str">
        <f aca="false">IF(C32="","",9)</f>
        <v/>
      </c>
      <c r="C32" s="28" t="str">
        <f aca="false">IFERROR(INDEX($Q$6:$Q$16,MATCH(9,$U$6:$U$16,0)),"")</f>
        <v/>
      </c>
      <c r="D32" s="29" t="str">
        <f aca="false">IFERROR(INDEX($S$6:$S$16,MATCH(9,$U$6:$U$16,0)),"")</f>
        <v/>
      </c>
      <c r="F32" s="30" t="str">
        <f aca="false">IF(G32="","",9)</f>
        <v/>
      </c>
      <c r="G32" s="31" t="str">
        <f aca="false">IFERROR(INDEX($Q$6:$Q$16,MATCH(9,$W$6:$W$16,0)),"")</f>
        <v/>
      </c>
      <c r="H32" s="32" t="str">
        <f aca="false">IFERROR(INDEX($S$6:$S$16,MATCH(9,$W$6:$W$16,0)),"")</f>
        <v/>
      </c>
    </row>
    <row r="33" customFormat="false" ht="30" hidden="false" customHeight="true" outlineLevel="0" collapsed="false">
      <c r="A33" s="15"/>
      <c r="B33" s="27" t="str">
        <f aca="false">IF(C33="","",10)</f>
        <v/>
      </c>
      <c r="C33" s="28" t="str">
        <f aca="false">IFERROR(INDEX($Q$6:$Q$16,MATCH(10,$U$6:$U$16,0)),"")</f>
        <v/>
      </c>
      <c r="D33" s="29" t="str">
        <f aca="false">IFERROR(INDEX($S$6:$S$16,MATCH(10,$U$6:$U$16,0)),"")</f>
        <v/>
      </c>
      <c r="F33" s="30" t="str">
        <f aca="false">IF(G33="","",10)</f>
        <v/>
      </c>
      <c r="G33" s="31" t="str">
        <f aca="false">IFERROR(INDEX($Q$6:$Q$16,MATCH(10,$W$6:$W$16,0)),"")</f>
        <v/>
      </c>
      <c r="H33" s="32" t="str">
        <f aca="false">IFERROR(INDEX($S$6:$S$16,MATCH(10,$W$6:$W$16,0)),"")</f>
        <v/>
      </c>
    </row>
    <row r="34" customFormat="false" ht="30" hidden="false" customHeight="true" outlineLevel="0" collapsed="false">
      <c r="A34" s="15"/>
      <c r="B34" s="27" t="str">
        <f aca="false">IF(C34="","",11)</f>
        <v/>
      </c>
      <c r="C34" s="28" t="str">
        <f aca="false">IFERROR(INDEX($Q$6:$Q$16,MATCH(11,$U$6:$U$16,0)),"")</f>
        <v/>
      </c>
      <c r="D34" s="29" t="str">
        <f aca="false">IFERROR(INDEX($S$6:$S$16,MATCH(11,$U$6:$U$16,0)),"")</f>
        <v/>
      </c>
      <c r="F34" s="30" t="str">
        <f aca="false">IF(G34="","",11)</f>
        <v/>
      </c>
      <c r="G34" s="31" t="str">
        <f aca="false">IFERROR(INDEX($Q$6:$Q$16,MATCH(11,$W$6:$W$16,0)),"")</f>
        <v/>
      </c>
      <c r="H34" s="32" t="str">
        <f aca="false">IFERROR(INDEX($S$6:$S$16,MATCH(11,$W$6:$W$16,0)),"")</f>
        <v/>
      </c>
    </row>
    <row r="35" customFormat="false" ht="30" hidden="false" customHeight="true" outlineLevel="0" collapsed="false">
      <c r="A35" s="15"/>
      <c r="B35" s="27" t="str">
        <f aca="false">IF(C35="","",12)</f>
        <v/>
      </c>
      <c r="C35" s="28" t="str">
        <f aca="false">IFERROR(INDEX($Q$6:$Q$16,MATCH(12,$U$6:$U$16,0)),"")</f>
        <v/>
      </c>
      <c r="D35" s="29" t="str">
        <f aca="false">IFERROR(INDEX($S$6:$S$16,MATCH(12,$U$6:$U$16,0)),"")</f>
        <v/>
      </c>
      <c r="F35" s="30" t="str">
        <f aca="false">IF(G35="","",12)</f>
        <v/>
      </c>
      <c r="G35" s="31" t="str">
        <f aca="false">IFERROR(INDEX($Q$6:$Q$16,MATCH(12,$W$6:$W$16,0)),"")</f>
        <v/>
      </c>
      <c r="H35" s="32" t="str">
        <f aca="false">IFERROR(INDEX($S$6:$S$16,MATCH(12,$W$6:$W$16,0)),"")</f>
        <v/>
      </c>
    </row>
    <row r="36" customFormat="false" ht="15" hidden="false" customHeight="true" outlineLevel="0" collapsed="false">
      <c r="C36" s="22" t="str">
        <f aca="false">IF(SUM($T$6:$T$16)&gt;12,"+ "&amp;(SUM($T$6:$T$16)-12)&amp;" item(ns) não exibido(s)","")</f>
        <v/>
      </c>
      <c r="G36" s="22" t="str">
        <f aca="false">IF(SUM($V$6:$V$16)&gt;12,"+ "&amp;(SUM($V$6:$V$16)-12)&amp;" item(ns) não exibido(s)","")</f>
        <v/>
      </c>
    </row>
    <row r="38" customFormat="false" ht="15" hidden="false" customHeight="true" outlineLevel="0" collapsed="false">
      <c r="B38" s="33" t="s">
        <v>329</v>
      </c>
    </row>
  </sheetData>
  <mergeCells count="8">
    <mergeCell ref="B5:D5"/>
    <mergeCell ref="F5:H5"/>
    <mergeCell ref="B6:D6"/>
    <mergeCell ref="F6:H6"/>
    <mergeCell ref="A8:A19"/>
    <mergeCell ref="B22:D22"/>
    <mergeCell ref="F22:H22"/>
    <mergeCell ref="A24:A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W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"/>
    <col collapsed="false" customWidth="true" hidden="false" outlineLevel="0" max="3" min="3" style="1" width="55"/>
    <col collapsed="false" customWidth="true" hidden="false" outlineLevel="0" max="4" min="4" style="1" width="12"/>
    <col collapsed="false" customWidth="true" hidden="false" outlineLevel="0" max="5" min="5" style="1" width="2"/>
    <col collapsed="false" customWidth="true" hidden="false" outlineLevel="0" max="6" min="6" style="1" width="5"/>
    <col collapsed="false" customWidth="true" hidden="false" outlineLevel="0" max="7" min="7" style="1" width="55"/>
    <col collapsed="false" customWidth="true" hidden="false" outlineLevel="0" max="8" min="8" style="1" width="12"/>
    <col collapsed="false" customWidth="true" hidden="true" outlineLevel="0" max="23" min="11" style="1" width="13"/>
  </cols>
  <sheetData>
    <row r="1" customFormat="false" ht="17.25" hidden="false" customHeight="true" outlineLevel="0" collapsed="false">
      <c r="B1" s="91" t="s">
        <v>332</v>
      </c>
    </row>
    <row r="2" customFormat="false" ht="15" hidden="false" customHeight="true" outlineLevel="0" collapsed="false">
      <c r="B2" s="9" t="s">
        <v>328</v>
      </c>
    </row>
    <row r="3" customFormat="false" ht="15" hidden="false" customHeight="true" outlineLevel="0" collapsed="false">
      <c r="B3" s="92" t="str">
        <f aca="false">"Indicadores internos com dado: "&amp;(COUNTA(L6:L21)-COUNTBLANK(L6:L21))&amp;" de 16  |  Neutros: "&amp;COUNTIF(L6:L21,"Neutro")&amp;"  |  Fatores externos pontuados: "&amp;COUNT(S6:S16)&amp;" de 11"</f>
        <v>Indicadores internos com dado: 14 de 16  |  Neutros: 1  |  Fatores externos pontuados: 11 de 11</v>
      </c>
    </row>
    <row r="5" customFormat="false" ht="15" hidden="false" customHeight="true" outlineLevel="0" collapsed="false">
      <c r="B5" s="10" t="s">
        <v>27</v>
      </c>
      <c r="C5" s="10"/>
      <c r="D5" s="10"/>
      <c r="F5" s="10" t="s">
        <v>28</v>
      </c>
      <c r="G5" s="10"/>
      <c r="H5" s="10"/>
    </row>
    <row r="6" customFormat="false" ht="15" hidden="false" customHeight="true" outlineLevel="0" collapsed="false">
      <c r="B6" s="11" t="str">
        <f aca="false">"FORÇAS (S) — "&amp;COUNTIF($L$6:$L$21,"Força")&amp;" item(ns)"</f>
        <v>FORÇAS (S) — 3 item(ns)</v>
      </c>
      <c r="C6" s="11"/>
      <c r="D6" s="11"/>
      <c r="F6" s="12" t="str">
        <f aca="false">"FRAQUEZAS (W) — "&amp;COUNTIF($L$6:$L$21,"Fraqueza")&amp;" item(ns)"</f>
        <v>FRAQUEZAS (W) — 10 item(ns)</v>
      </c>
      <c r="G6" s="12"/>
      <c r="H6" s="12"/>
      <c r="K6" s="1" t="str">
        <f aca="false">Aux!B6</f>
        <v>[Agropecuária] AGR-01 – Quociente locacional do VAB agropecuário (base MT) (índice)</v>
      </c>
      <c r="L6" s="1" t="str">
        <f aca="false">'Indicadores (F-W)'!U6</f>
        <v>Força</v>
      </c>
      <c r="M6" s="87" t="n">
        <f aca="false">IF('Indicadores (F-W)'!T6="","",'Indicadores (F-W)'!T6)</f>
        <v>1.3866</v>
      </c>
      <c r="N6" s="1" t="n">
        <f aca="false">IF(L6="Força",COUNTIF(L$6:L6,"Força"),"")</f>
        <v>1</v>
      </c>
      <c r="O6" s="1" t="str">
        <f aca="false">IF(L6="Fraqueza",COUNTIF(L$6:L6,"Fraqueza"),"")</f>
        <v/>
      </c>
      <c r="Q6" s="1" t="str">
        <f aca="false">Aux!I6</f>
        <v>[Agropecuária] OP-01 – Demanda externa por carne bovina e proteína animal</v>
      </c>
      <c r="R6" s="1" t="str">
        <f aca="false">Aux!J6</f>
        <v>Oportunidade</v>
      </c>
      <c r="S6" s="1" t="n">
        <f aca="false">IF('Fatores Externos (O-A)'!I6="","",'Fatores Externos (O-A)'!I6)</f>
        <v>2</v>
      </c>
      <c r="T6" s="1" t="n">
        <f aca="false">IF(AND(R6="Oportunidade",ISNUMBER(S6)),IF(S6&gt;=Parâmetros!$B$5,1,0),0)</f>
        <v>1</v>
      </c>
      <c r="U6" s="1" t="n">
        <f aca="false">IF(T6=1,SUM(T$6:T6),"")</f>
        <v>1</v>
      </c>
      <c r="V6" s="1" t="n">
        <f aca="false">IF(AND(R6="Ameaça",ISNUMBER(S6)),IF(S6&gt;=Parâmetros!$B$5,1,0),0)</f>
        <v>0</v>
      </c>
      <c r="W6" s="1" t="str">
        <f aca="false">IF(V6=1,SUM(V$6:V6),"")</f>
        <v/>
      </c>
    </row>
    <row r="7" customFormat="false" ht="15" hidden="false" customHeight="true" outlineLevel="0" collapsed="false">
      <c r="B7" s="13" t="s">
        <v>29</v>
      </c>
      <c r="C7" s="13" t="s">
        <v>30</v>
      </c>
      <c r="D7" s="13" t="s">
        <v>31</v>
      </c>
      <c r="F7" s="14" t="s">
        <v>29</v>
      </c>
      <c r="G7" s="14" t="s">
        <v>30</v>
      </c>
      <c r="H7" s="14" t="s">
        <v>31</v>
      </c>
      <c r="K7" s="1" t="str">
        <f aca="false">Aux!B7</f>
        <v>[Agropecuária] AGR-02 – Valor da produção das lavouras por área colhida (R$/ha)</v>
      </c>
      <c r="L7" s="1" t="str">
        <f aca="false">'Indicadores (F-W)'!U7</f>
        <v>Força</v>
      </c>
      <c r="M7" s="88" t="n">
        <f aca="false">IF('Indicadores (F-W)'!T7="","",'Indicadores (F-W)'!T7)</f>
        <v>10020.12</v>
      </c>
      <c r="N7" s="1" t="n">
        <f aca="false">IF(L7="Força",COUNTIF(L$6:L7,"Força"),"")</f>
        <v>2</v>
      </c>
      <c r="O7" s="1" t="str">
        <f aca="false">IF(L7="Fraqueza",COUNTIF(L$6:L7,"Fraqueza"),"")</f>
        <v/>
      </c>
      <c r="Q7" s="1" t="str">
        <f aca="false">Aux!I7</f>
        <v>[Agropecuária] OP-02 – Mercados para produtos diferenciados e certificados (carne sustentável/orgânica, origem Pantanal)</v>
      </c>
      <c r="R7" s="1" t="str">
        <f aca="false">Aux!J7</f>
        <v>Oportunidade</v>
      </c>
      <c r="S7" s="1" t="n">
        <f aca="false">IF('Fatores Externos (O-A)'!I7="","",'Fatores Externos (O-A)'!I7)</f>
        <v>1</v>
      </c>
      <c r="T7" s="1" t="n">
        <f aca="false">IF(AND(R7="Oportunidade",ISNUMBER(S7)),IF(S7&gt;=Parâmetros!$B$5,1,0),0)</f>
        <v>0</v>
      </c>
      <c r="U7" s="1" t="str">
        <f aca="false">IF(T7=1,SUM(T$6:T7),"")</f>
        <v/>
      </c>
      <c r="V7" s="1" t="n">
        <f aca="false">IF(AND(R7="Ameaça",ISNUMBER(S7)),IF(S7&gt;=Parâmetros!$B$5,1,0),0)</f>
        <v>0</v>
      </c>
      <c r="W7" s="1" t="str">
        <f aca="false">IF(V7=1,SUM(V$6:V7),"")</f>
        <v/>
      </c>
    </row>
    <row r="8" customFormat="false" ht="30" hidden="false" customHeight="true" outlineLevel="0" collapsed="false">
      <c r="A8" s="15" t="s">
        <v>32</v>
      </c>
      <c r="B8" s="16" t="n">
        <f aca="false">IF(C8="","",1)</f>
        <v>1</v>
      </c>
      <c r="C8" s="17" t="str">
        <f aca="false">IFERROR(INDEX($K$6:$K$21,MATCH(1,$N$6:$N$21,0)),"")</f>
        <v>[Agropecuária] AGR-01 – Quociente locacional do VAB agropecuário (base MT) (índice)</v>
      </c>
      <c r="D8" s="18" t="n">
        <f aca="false">IFERROR(INDEX($M$6:$M$21,MATCH(1,$N$6:$N$21,0)),"")</f>
        <v>1.3866</v>
      </c>
      <c r="F8" s="19" t="n">
        <f aca="false">IF(G8="","",1)</f>
        <v>1</v>
      </c>
      <c r="G8" s="20" t="str">
        <f aca="false">IFERROR(INDEX($K$6:$K$21,MATCH(1,$O$6:$O$21,0)),"")</f>
        <v>[Indústria] IND-01 – Quociente locacional do VAB industrial (base MT) (índice)</v>
      </c>
      <c r="H8" s="21" t="n">
        <f aca="false">IFERROR(INDEX($M$6:$M$21,MATCH(1,$O$6:$O$21,0)),"")</f>
        <v>0.2854</v>
      </c>
      <c r="K8" s="1" t="str">
        <f aca="false">Aux!B8</f>
        <v>[Agropecuária] AGR-03 – Variação do efetivo bovino em 5 anos (%)</v>
      </c>
      <c r="L8" s="1" t="str">
        <f aca="false">'Indicadores (F-W)'!U8</f>
        <v>Neutro</v>
      </c>
      <c r="M8" s="88" t="n">
        <f aca="false">IF('Indicadores (F-W)'!T8="","",'Indicadores (F-W)'!T8)</f>
        <v>2.27</v>
      </c>
      <c r="N8" s="1" t="str">
        <f aca="false">IF(L8="Força",COUNTIF(L$6:L8,"Força"),"")</f>
        <v/>
      </c>
      <c r="O8" s="1" t="str">
        <f aca="false">IF(L8="Fraqueza",COUNTIF(L$6:L8,"Fraqueza"),"")</f>
        <v/>
      </c>
      <c r="Q8" s="1" t="str">
        <f aca="false">Aux!I8</f>
        <v>[Comércio e Serviços] OP-03 – Expansão do turismo de natureza, pesca esportiva e ecoturismo</v>
      </c>
      <c r="R8" s="1" t="str">
        <f aca="false">Aux!J8</f>
        <v>Oportunidade</v>
      </c>
      <c r="S8" s="1" t="n">
        <f aca="false">IF('Fatores Externos (O-A)'!I8="","",'Fatores Externos (O-A)'!I8)</f>
        <v>1</v>
      </c>
      <c r="T8" s="1" t="n">
        <f aca="false">IF(AND(R8="Oportunidade",ISNUMBER(S8)),IF(S8&gt;=Parâmetros!$B$5,1,0),0)</f>
        <v>0</v>
      </c>
      <c r="U8" s="1" t="str">
        <f aca="false">IF(T8=1,SUM(T$6:T8),"")</f>
        <v/>
      </c>
      <c r="V8" s="1" t="n">
        <f aca="false">IF(AND(R8="Ameaça",ISNUMBER(S8)),IF(S8&gt;=Parâmetros!$B$5,1,0),0)</f>
        <v>0</v>
      </c>
      <c r="W8" s="1" t="str">
        <f aca="false">IF(V8=1,SUM(V$6:V8),"")</f>
        <v/>
      </c>
    </row>
    <row r="9" customFormat="false" ht="30" hidden="false" customHeight="true" outlineLevel="0" collapsed="false">
      <c r="A9" s="15"/>
      <c r="B9" s="16" t="n">
        <f aca="false">IF(C9="","",2)</f>
        <v>2</v>
      </c>
      <c r="C9" s="17" t="str">
        <f aca="false">IFERROR(INDEX($K$6:$K$21,MATCH(2,$N$6:$N$21,0)),"")</f>
        <v>[Agropecuária] AGR-02 – Valor da produção das lavouras por área colhida (R$/ha)</v>
      </c>
      <c r="D9" s="18" t="n">
        <f aca="false">IFERROR(INDEX($M$6:$M$21,MATCH(2,$N$6:$N$21,0)),"")</f>
        <v>10020.12</v>
      </c>
      <c r="F9" s="19" t="n">
        <f aca="false">IF(G9="","",2)</f>
        <v>2</v>
      </c>
      <c r="G9" s="20" t="str">
        <f aca="false">IFERROR(INDEX($K$6:$K$21,MATCH(2,$O$6:$O$21,0)),"")</f>
        <v>[Indústria] IND-03 – Remuneração média do emprego formal industrial (R$)</v>
      </c>
      <c r="H9" s="21" t="n">
        <f aca="false">IFERROR(INDEX($M$6:$M$21,MATCH(2,$O$6:$O$21,0)),"")</f>
        <v>2190.43</v>
      </c>
      <c r="K9" s="1" t="str">
        <f aca="false">Aux!B9</f>
        <v>[Agropecuária] AGR-04 – Estabelecimentos agropecuários que receberam assistência técnica (%)</v>
      </c>
      <c r="L9" s="1" t="str">
        <f aca="false">'Indicadores (F-W)'!U9</f>
        <v/>
      </c>
      <c r="M9" s="1" t="str">
        <f aca="false">IF('Indicadores (F-W)'!T9="","",'Indicadores (F-W)'!T9)</f>
        <v/>
      </c>
      <c r="N9" s="1" t="str">
        <f aca="false">IF(L9="Força",COUNTIF(L$6:L9,"Força"),"")</f>
        <v/>
      </c>
      <c r="O9" s="1" t="str">
        <f aca="false">IF(L9="Fraqueza",COUNTIF(L$6:L9,"Fraqueza"),"")</f>
        <v/>
      </c>
      <c r="Q9" s="1" t="str">
        <f aca="false">Aux!I9</f>
        <v>[Indústria] OP-04 – Agroindustrialização e verticalização (frigoríficos, laticínios, sucroenergético)</v>
      </c>
      <c r="R9" s="1" t="str">
        <f aca="false">Aux!J9</f>
        <v>Oportunidade</v>
      </c>
      <c r="S9" s="1" t="n">
        <f aca="false">IF('Fatores Externos (O-A)'!I9="","",'Fatores Externos (O-A)'!I9)</f>
        <v>1</v>
      </c>
      <c r="T9" s="1" t="n">
        <f aca="false">IF(AND(R9="Oportunidade",ISNUMBER(S9)),IF(S9&gt;=Parâmetros!$B$5,1,0),0)</f>
        <v>0</v>
      </c>
      <c r="U9" s="1" t="str">
        <f aca="false">IF(T9=1,SUM(T$6:T9),"")</f>
        <v/>
      </c>
      <c r="V9" s="1" t="n">
        <f aca="false">IF(AND(R9="Ameaça",ISNUMBER(S9)),IF(S9&gt;=Parâmetros!$B$5,1,0),0)</f>
        <v>0</v>
      </c>
      <c r="W9" s="1" t="str">
        <f aca="false">IF(V9=1,SUM(V$6:V9),"")</f>
        <v/>
      </c>
    </row>
    <row r="10" customFormat="false" ht="30" hidden="false" customHeight="true" outlineLevel="0" collapsed="false">
      <c r="A10" s="15"/>
      <c r="B10" s="16" t="n">
        <f aca="false">IF(C10="","",3)</f>
        <v>3</v>
      </c>
      <c r="C10" s="17" t="str">
        <f aca="false">IFERROR(INDEX($K$6:$K$21,MATCH(3,$N$6:$N$21,0)),"")</f>
        <v>[Indústria] IND-02 – Variação do emprego formal na indústria em 5 anos (%)</v>
      </c>
      <c r="D10" s="18" t="n">
        <f aca="false">IFERROR(INDEX($M$6:$M$21,MATCH(3,$N$6:$N$21,0)),"")</f>
        <v>150</v>
      </c>
      <c r="F10" s="19" t="n">
        <f aca="false">IF(G10="","",3)</f>
        <v>3</v>
      </c>
      <c r="G10" s="20" t="str">
        <f aca="false">IFERROR(INDEX($K$6:$K$21,MATCH(3,$O$6:$O$21,0)),"")</f>
        <v>[Comércio e Serviços] CS-01 – Quociente locacional do VAB de serviços, exceto adm. pública (base MT) (índice)</v>
      </c>
      <c r="H10" s="21" t="n">
        <f aca="false">IFERROR(INDEX($M$6:$M$21,MATCH(3,$O$6:$O$21,0)),"")</f>
        <v>0.4636</v>
      </c>
      <c r="K10" s="1" t="str">
        <f aca="false">Aux!B10</f>
        <v>[Agropecuária] AGR-05 – Diversificação agrícola (1 − HHI do valor da produção das lavouras) (índice 0–1)</v>
      </c>
      <c r="L10" s="1" t="str">
        <f aca="false">'Indicadores (F-W)'!U10</f>
        <v/>
      </c>
      <c r="M10" s="1" t="str">
        <f aca="false">IF('Indicadores (F-W)'!T10="","",'Indicadores (F-W)'!T10)</f>
        <v/>
      </c>
      <c r="N10" s="1" t="str">
        <f aca="false">IF(L10="Força",COUNTIF(L$6:L10,"Força"),"")</f>
        <v/>
      </c>
      <c r="O10" s="1" t="str">
        <f aca="false">IF(L10="Fraqueza",COUNTIF(L$6:L10,"Fraqueza"),"")</f>
        <v/>
      </c>
      <c r="Q10" s="1" t="str">
        <f aca="false">Aux!I10</f>
        <v>[Estrutura Econômica e Fiscal] OP-05 – Corredores logísticos (rodovias federais, ferrovia, hidrovia do Paraguai)</v>
      </c>
      <c r="R10" s="1" t="str">
        <f aca="false">Aux!J10</f>
        <v>Oportunidade</v>
      </c>
      <c r="S10" s="1" t="n">
        <f aca="false">IF('Fatores Externos (O-A)'!I10="","",'Fatores Externos (O-A)'!I10)</f>
        <v>1</v>
      </c>
      <c r="T10" s="1" t="n">
        <f aca="false">IF(AND(R10="Oportunidade",ISNUMBER(S10)),IF(S10&gt;=Parâmetros!$B$5,1,0),0)</f>
        <v>0</v>
      </c>
      <c r="U10" s="1" t="str">
        <f aca="false">IF(T10=1,SUM(T$6:T10),"")</f>
        <v/>
      </c>
      <c r="V10" s="1" t="n">
        <f aca="false">IF(AND(R10="Ameaça",ISNUMBER(S10)),IF(S10&gt;=Parâmetros!$B$5,1,0),0)</f>
        <v>0</v>
      </c>
      <c r="W10" s="1" t="str">
        <f aca="false">IF(V10=1,SUM(V$6:V10),"")</f>
        <v/>
      </c>
    </row>
    <row r="11" customFormat="false" ht="30" hidden="false" customHeight="true" outlineLevel="0" collapsed="false">
      <c r="A11" s="15"/>
      <c r="B11" s="16" t="str">
        <f aca="false">IF(C11="","",4)</f>
        <v/>
      </c>
      <c r="C11" s="17" t="str">
        <f aca="false">IFERROR(INDEX($K$6:$K$21,MATCH(4,$N$6:$N$21,0)),"")</f>
        <v/>
      </c>
      <c r="D11" s="18" t="str">
        <f aca="false">IFERROR(INDEX($M$6:$M$21,MATCH(4,$N$6:$N$21,0)),"")</f>
        <v/>
      </c>
      <c r="F11" s="19" t="n">
        <f aca="false">IF(G11="","",4)</f>
        <v>4</v>
      </c>
      <c r="G11" s="20" t="str">
        <f aca="false">IFERROR(INDEX($K$6:$K$21,MATCH(4,$O$6:$O$21,0)),"")</f>
        <v>[Comércio e Serviços] CS-02 – Variação do emprego formal em comércio e serviços em 5 anos (%)</v>
      </c>
      <c r="H11" s="21" t="n">
        <f aca="false">IFERROR(INDEX($M$6:$M$21,MATCH(4,$O$6:$O$21,0)),"")</f>
        <v>-10.46</v>
      </c>
      <c r="K11" s="1" t="str">
        <f aca="false">Aux!B11</f>
        <v>[Indústria] IND-01 – Quociente locacional do VAB industrial (base MT) (índice)</v>
      </c>
      <c r="L11" s="1" t="str">
        <f aca="false">'Indicadores (F-W)'!U11</f>
        <v>Fraqueza</v>
      </c>
      <c r="M11" s="87" t="n">
        <f aca="false">IF('Indicadores (F-W)'!T11="","",'Indicadores (F-W)'!T11)</f>
        <v>0.2854</v>
      </c>
      <c r="N11" s="1" t="str">
        <f aca="false">IF(L11="Força",COUNTIF(L$6:L11,"Força"),"")</f>
        <v/>
      </c>
      <c r="O11" s="1" t="n">
        <f aca="false">IF(L11="Fraqueza",COUNTIF(L$6:L11,"Fraqueza"),"")</f>
        <v>1</v>
      </c>
      <c r="Q11" s="1" t="str">
        <f aca="false">Aux!I11</f>
        <v>[Estrutura Econômica e Fiscal] OP-06 – Instrumentos de fomento e financiamento (FCO, crédito rural, PSA, mercado de carbono)</v>
      </c>
      <c r="R11" s="1" t="str">
        <f aca="false">Aux!J11</f>
        <v>Oportunidade</v>
      </c>
      <c r="S11" s="1" t="n">
        <f aca="false">IF('Fatores Externos (O-A)'!I11="","",'Fatores Externos (O-A)'!I11)</f>
        <v>2</v>
      </c>
      <c r="T11" s="1" t="n">
        <f aca="false">IF(AND(R11="Oportunidade",ISNUMBER(S11)),IF(S11&gt;=Parâmetros!$B$5,1,0),0)</f>
        <v>1</v>
      </c>
      <c r="U11" s="1" t="n">
        <f aca="false">IF(T11=1,SUM(T$6:T11),"")</f>
        <v>2</v>
      </c>
      <c r="V11" s="1" t="n">
        <f aca="false">IF(AND(R11="Ameaça",ISNUMBER(S11)),IF(S11&gt;=Parâmetros!$B$5,1,0),0)</f>
        <v>0</v>
      </c>
      <c r="W11" s="1" t="str">
        <f aca="false">IF(V11=1,SUM(V$6:V11),"")</f>
        <v/>
      </c>
    </row>
    <row r="12" customFormat="false" ht="30" hidden="false" customHeight="true" outlineLevel="0" collapsed="false">
      <c r="A12" s="15"/>
      <c r="B12" s="16" t="str">
        <f aca="false">IF(C12="","",5)</f>
        <v/>
      </c>
      <c r="C12" s="17" t="str">
        <f aca="false">IFERROR(INDEX($K$6:$K$21,MATCH(5,$N$6:$N$21,0)),"")</f>
        <v/>
      </c>
      <c r="D12" s="18" t="str">
        <f aca="false">IFERROR(INDEX($M$6:$M$21,MATCH(5,$N$6:$N$21,0)),"")</f>
        <v/>
      </c>
      <c r="F12" s="19" t="n">
        <f aca="false">IF(G12="","",5)</f>
        <v>5</v>
      </c>
      <c r="G12" s="20" t="str">
        <f aca="false">IFERROR(INDEX($K$6:$K$21,MATCH(5,$O$6:$O$21,0)),"")</f>
        <v>[Comércio e Serviços] CS-03 – Empresas e outras organizações ativas por mil habitantes (un./mil hab.)</v>
      </c>
      <c r="H12" s="21" t="n">
        <f aca="false">IFERROR(INDEX($M$6:$M$21,MATCH(5,$O$6:$O$21,0)),"")</f>
        <v>19.4</v>
      </c>
      <c r="K12" s="1" t="str">
        <f aca="false">Aux!B12</f>
        <v>[Indústria] IND-02 – Variação do emprego formal na indústria em 5 anos (%)</v>
      </c>
      <c r="L12" s="1" t="str">
        <f aca="false">'Indicadores (F-W)'!U12</f>
        <v>Força</v>
      </c>
      <c r="M12" s="88" t="n">
        <f aca="false">IF('Indicadores (F-W)'!T12="","",'Indicadores (F-W)'!T12)</f>
        <v>150</v>
      </c>
      <c r="N12" s="1" t="n">
        <f aca="false">IF(L12="Força",COUNTIF(L$6:L12,"Força"),"")</f>
        <v>3</v>
      </c>
      <c r="O12" s="1" t="str">
        <f aca="false">IF(L12="Fraqueza",COUNTIF(L$6:L12,"Fraqueza"),"")</f>
        <v/>
      </c>
      <c r="Q12" s="1" t="str">
        <f aca="false">Aux!I12</f>
        <v>[Agropecuária] AM-01 – Eventos climáticos extremos: secas prolongadas e incêndios no Pantanal</v>
      </c>
      <c r="R12" s="1" t="str">
        <f aca="false">Aux!J12</f>
        <v>Ameaça</v>
      </c>
      <c r="S12" s="1" t="n">
        <f aca="false">IF('Fatores Externos (O-A)'!I12="","",'Fatores Externos (O-A)'!I12)</f>
        <v>1</v>
      </c>
      <c r="T12" s="1" t="n">
        <f aca="false">IF(AND(R12="Oportunidade",ISNUMBER(S12)),IF(S12&gt;=Parâmetros!$B$5,1,0),0)</f>
        <v>0</v>
      </c>
      <c r="U12" s="1" t="str">
        <f aca="false">IF(T12=1,SUM(T$6:T12),"")</f>
        <v/>
      </c>
      <c r="V12" s="1" t="n">
        <f aca="false">IF(AND(R12="Ameaça",ISNUMBER(S12)),IF(S12&gt;=Parâmetros!$B$5,1,0),0)</f>
        <v>0</v>
      </c>
      <c r="W12" s="1" t="str">
        <f aca="false">IF(V12=1,SUM(V$6:V12),"")</f>
        <v/>
      </c>
    </row>
    <row r="13" customFormat="false" ht="30" hidden="false" customHeight="true" outlineLevel="0" collapsed="false">
      <c r="A13" s="15"/>
      <c r="B13" s="16" t="str">
        <f aca="false">IF(C13="","",6)</f>
        <v/>
      </c>
      <c r="C13" s="17" t="str">
        <f aca="false">IFERROR(INDEX($K$6:$K$21,MATCH(6,$N$6:$N$21,0)),"")</f>
        <v/>
      </c>
      <c r="D13" s="18" t="str">
        <f aca="false">IFERROR(INDEX($M$6:$M$21,MATCH(6,$N$6:$N$21,0)),"")</f>
        <v/>
      </c>
      <c r="F13" s="19" t="n">
        <f aca="false">IF(G13="","",6)</f>
        <v>6</v>
      </c>
      <c r="G13" s="20" t="str">
        <f aca="false">IFERROR(INDEX($K$6:$K$21,MATCH(6,$O$6:$O$21,0)),"")</f>
        <v>[Estrutura Econômica e Fiscal] EST-01 – PIB per capita (R$)</v>
      </c>
      <c r="H13" s="21" t="n">
        <f aca="false">IFERROR(INDEX($M$6:$M$21,MATCH(6,$O$6:$O$21,0)),"")</f>
        <v>39644.82</v>
      </c>
      <c r="K13" s="1" t="str">
        <f aca="false">Aux!B13</f>
        <v>[Indústria] IND-03 – Remuneração média do emprego formal industrial (R$)</v>
      </c>
      <c r="L13" s="1" t="str">
        <f aca="false">'Indicadores (F-W)'!U13</f>
        <v>Fraqueza</v>
      </c>
      <c r="M13" s="88" t="n">
        <f aca="false">IF('Indicadores (F-W)'!T13="","",'Indicadores (F-W)'!T13)</f>
        <v>2190.43</v>
      </c>
      <c r="N13" s="1" t="str">
        <f aca="false">IF(L13="Força",COUNTIF(L$6:L13,"Força"),"")</f>
        <v/>
      </c>
      <c r="O13" s="1" t="n">
        <f aca="false">IF(L13="Fraqueza",COUNTIF(L$6:L13,"Fraqueza"),"")</f>
        <v>2</v>
      </c>
      <c r="Q13" s="1" t="str">
        <f aca="false">Aux!I13</f>
        <v>[Agropecuária] AM-02 – Volatilidade de preços de commodities (boi gordo, soja, milho)</v>
      </c>
      <c r="R13" s="1" t="str">
        <f aca="false">Aux!J13</f>
        <v>Ameaça</v>
      </c>
      <c r="S13" s="1" t="n">
        <f aca="false">IF('Fatores Externos (O-A)'!I13="","",'Fatores Externos (O-A)'!I13)</f>
        <v>2</v>
      </c>
      <c r="T13" s="1" t="n">
        <f aca="false">IF(AND(R13="Oportunidade",ISNUMBER(S13)),IF(S13&gt;=Parâmetros!$B$5,1,0),0)</f>
        <v>0</v>
      </c>
      <c r="U13" s="1" t="str">
        <f aca="false">IF(T13=1,SUM(T$6:T13),"")</f>
        <v/>
      </c>
      <c r="V13" s="1" t="n">
        <f aca="false">IF(AND(R13="Ameaça",ISNUMBER(S13)),IF(S13&gt;=Parâmetros!$B$5,1,0),0)</f>
        <v>1</v>
      </c>
      <c r="W13" s="1" t="n">
        <f aca="false">IF(V13=1,SUM(V$6:V13),"")</f>
        <v>1</v>
      </c>
    </row>
    <row r="14" customFormat="false" ht="30" hidden="false" customHeight="true" outlineLevel="0" collapsed="false">
      <c r="A14" s="15"/>
      <c r="B14" s="16" t="str">
        <f aca="false">IF(C14="","",7)</f>
        <v/>
      </c>
      <c r="C14" s="17" t="str">
        <f aca="false">IFERROR(INDEX($K$6:$K$21,MATCH(7,$N$6:$N$21,0)),"")</f>
        <v/>
      </c>
      <c r="D14" s="18" t="str">
        <f aca="false">IFERROR(INDEX($M$6:$M$21,MATCH(7,$N$6:$N$21,0)),"")</f>
        <v/>
      </c>
      <c r="F14" s="19" t="n">
        <f aca="false">IF(G14="","",7)</f>
        <v>7</v>
      </c>
      <c r="G14" s="20" t="str">
        <f aca="false">IFERROR(INDEX($K$6:$K$21,MATCH(7,$O$6:$O$21,0)),"")</f>
        <v>[Estrutura Econômica e Fiscal] EST-02 – Participação da administração pública no VAB total (%)</v>
      </c>
      <c r="H14" s="21" t="n">
        <f aca="false">IFERROR(INDEX($M$6:$M$21,MATCH(7,$O$6:$O$21,0)),"")</f>
        <v>26.83</v>
      </c>
      <c r="K14" s="1" t="str">
        <f aca="false">Aux!B14</f>
        <v>[Comércio e Serviços] CS-01 – Quociente locacional do VAB de serviços, exceto adm. pública (base MT) (índice)</v>
      </c>
      <c r="L14" s="1" t="str">
        <f aca="false">'Indicadores (F-W)'!U14</f>
        <v>Fraqueza</v>
      </c>
      <c r="M14" s="87" t="n">
        <f aca="false">IF('Indicadores (F-W)'!T14="","",'Indicadores (F-W)'!T14)</f>
        <v>0.4636</v>
      </c>
      <c r="N14" s="1" t="str">
        <f aca="false">IF(L14="Força",COUNTIF(L$6:L14,"Força"),"")</f>
        <v/>
      </c>
      <c r="O14" s="1" t="n">
        <f aca="false">IF(L14="Fraqueza",COUNTIF(L$6:L14,"Fraqueza"),"")</f>
        <v>3</v>
      </c>
      <c r="Q14" s="1" t="str">
        <f aca="false">Aux!I14</f>
        <v>[Agropecuária] AM-03 – Exigências ambientais de mercados importadores e barreiras ligadas a desmatamento (ex.: EUDR)</v>
      </c>
      <c r="R14" s="1" t="str">
        <f aca="false">Aux!J14</f>
        <v>Ameaça</v>
      </c>
      <c r="S14" s="1" t="n">
        <f aca="false">IF('Fatores Externos (O-A)'!I14="","",'Fatores Externos (O-A)'!I14)</f>
        <v>2</v>
      </c>
      <c r="T14" s="1" t="n">
        <f aca="false">IF(AND(R14="Oportunidade",ISNUMBER(S14)),IF(S14&gt;=Parâmetros!$B$5,1,0),0)</f>
        <v>0</v>
      </c>
      <c r="U14" s="1" t="str">
        <f aca="false">IF(T14=1,SUM(T$6:T14),"")</f>
        <v/>
      </c>
      <c r="V14" s="1" t="n">
        <f aca="false">IF(AND(R14="Ameaça",ISNUMBER(S14)),IF(S14&gt;=Parâmetros!$B$5,1,0),0)</f>
        <v>1</v>
      </c>
      <c r="W14" s="1" t="n">
        <f aca="false">IF(V14=1,SUM(V$6:V14),"")</f>
        <v>2</v>
      </c>
    </row>
    <row r="15" customFormat="false" ht="30" hidden="false" customHeight="true" outlineLevel="0" collapsed="false">
      <c r="A15" s="15"/>
      <c r="B15" s="16" t="str">
        <f aca="false">IF(C15="","",8)</f>
        <v/>
      </c>
      <c r="C15" s="17" t="str">
        <f aca="false">IFERROR(INDEX($K$6:$K$21,MATCH(8,$N$6:$N$21,0)),"")</f>
        <v/>
      </c>
      <c r="D15" s="18" t="str">
        <f aca="false">IFERROR(INDEX($M$6:$M$21,MATCH(8,$N$6:$N$21,0)),"")</f>
        <v/>
      </c>
      <c r="F15" s="19" t="n">
        <f aca="false">IF(G15="","",8)</f>
        <v>8</v>
      </c>
      <c r="G15" s="20" t="str">
        <f aca="false">IFERROR(INDEX($K$6:$K$21,MATCH(8,$O$6:$O$21,0)),"")</f>
        <v>[Estrutura Econômica e Fiscal] EST-03 – Vínculos formais por 100 habitantes (vínculos/100 hab.)</v>
      </c>
      <c r="H15" s="21" t="n">
        <f aca="false">IFERROR(INDEX($M$6:$M$21,MATCH(8,$O$6:$O$21,0)),"")</f>
        <v>14.32</v>
      </c>
      <c r="K15" s="1" t="str">
        <f aca="false">Aux!B15</f>
        <v>[Comércio e Serviços] CS-02 – Variação do emprego formal em comércio e serviços em 5 anos (%)</v>
      </c>
      <c r="L15" s="1" t="str">
        <f aca="false">'Indicadores (F-W)'!U15</f>
        <v>Fraqueza</v>
      </c>
      <c r="M15" s="88" t="n">
        <f aca="false">IF('Indicadores (F-W)'!T15="","",'Indicadores (F-W)'!T15)</f>
        <v>-10.46</v>
      </c>
      <c r="N15" s="1" t="str">
        <f aca="false">IF(L15="Força",COUNTIF(L$6:L15,"Força"),"")</f>
        <v/>
      </c>
      <c r="O15" s="1" t="n">
        <f aca="false">IF(L15="Fraqueza",COUNTIF(L$6:L15,"Fraqueza"),"")</f>
        <v>4</v>
      </c>
      <c r="Q15" s="1" t="str">
        <f aca="false">Aux!I15</f>
        <v>[Estrutura Econômica e Fiscal] AM-04 – Transição da Reforma Tributária (IBS/CBS) e efeitos sobre a repartição de receitas municipais</v>
      </c>
      <c r="R15" s="1" t="str">
        <f aca="false">Aux!J15</f>
        <v>Ameaça</v>
      </c>
      <c r="S15" s="1" t="n">
        <f aca="false">IF('Fatores Externos (O-A)'!I15="","",'Fatores Externos (O-A)'!I15)</f>
        <v>1</v>
      </c>
      <c r="T15" s="1" t="n">
        <f aca="false">IF(AND(R15="Oportunidade",ISNUMBER(S15)),IF(S15&gt;=Parâmetros!$B$5,1,0),0)</f>
        <v>0</v>
      </c>
      <c r="U15" s="1" t="str">
        <f aca="false">IF(T15=1,SUM(T$6:T15),"")</f>
        <v/>
      </c>
      <c r="V15" s="1" t="n">
        <f aca="false">IF(AND(R15="Ameaça",ISNUMBER(S15)),IF(S15&gt;=Parâmetros!$B$5,1,0),0)</f>
        <v>0</v>
      </c>
      <c r="W15" s="1" t="str">
        <f aca="false">IF(V15=1,SUM(V$6:V15),"")</f>
        <v/>
      </c>
    </row>
    <row r="16" customFormat="false" ht="30" hidden="false" customHeight="true" outlineLevel="0" collapsed="false">
      <c r="A16" s="15"/>
      <c r="B16" s="16" t="str">
        <f aca="false">IF(C16="","",9)</f>
        <v/>
      </c>
      <c r="C16" s="17" t="str">
        <f aca="false">IFERROR(INDEX($K$6:$K$21,MATCH(9,$N$6:$N$21,0)),"")</f>
        <v/>
      </c>
      <c r="D16" s="18" t="str">
        <f aca="false">IFERROR(INDEX($M$6:$M$21,MATCH(9,$N$6:$N$21,0)),"")</f>
        <v/>
      </c>
      <c r="F16" s="19" t="n">
        <f aca="false">IF(G16="","",9)</f>
        <v>9</v>
      </c>
      <c r="G16" s="20" t="str">
        <f aca="false">IFERROR(INDEX($K$6:$K$21,MATCH(9,$O$6:$O$21,0)),"")</f>
        <v>[Estrutura Econômica e Fiscal] EST-04 – Concentração setorial do emprego formal (HHI por seção CNAE) (índice 0–1)</v>
      </c>
      <c r="H16" s="21" t="n">
        <f aca="false">IFERROR(INDEX($M$6:$M$21,MATCH(9,$O$6:$O$21,0)),"")</f>
        <v>0.3147</v>
      </c>
      <c r="K16" s="1" t="str">
        <f aca="false">Aux!B16</f>
        <v>[Comércio e Serviços] CS-03 – Empresas e outras organizações ativas por mil habitantes (un./mil hab.)</v>
      </c>
      <c r="L16" s="1" t="str">
        <f aca="false">'Indicadores (F-W)'!U16</f>
        <v>Fraqueza</v>
      </c>
      <c r="M16" s="88" t="n">
        <f aca="false">IF('Indicadores (F-W)'!T16="","",'Indicadores (F-W)'!T16)</f>
        <v>19.4</v>
      </c>
      <c r="N16" s="1" t="str">
        <f aca="false">IF(L16="Força",COUNTIF(L$6:L16,"Força"),"")</f>
        <v/>
      </c>
      <c r="O16" s="1" t="n">
        <f aca="false">IF(L16="Fraqueza",COUNTIF(L$6:L16,"Fraqueza"),"")</f>
        <v>5</v>
      </c>
      <c r="Q16" s="1" t="str">
        <f aca="false">Aux!I16</f>
        <v>[Comércio e Serviços] AM-05 – Polarização regional por centros maiores (evasão de consumo, serviços e mão de obra)</v>
      </c>
      <c r="R16" s="1" t="str">
        <f aca="false">Aux!J16</f>
        <v>Ameaça</v>
      </c>
      <c r="S16" s="1" t="n">
        <f aca="false">IF('Fatores Externos (O-A)'!I16="","",'Fatores Externos (O-A)'!I16)</f>
        <v>3</v>
      </c>
      <c r="T16" s="1" t="n">
        <f aca="false">IF(AND(R16="Oportunidade",ISNUMBER(S16)),IF(S16&gt;=Parâmetros!$B$5,1,0),0)</f>
        <v>0</v>
      </c>
      <c r="U16" s="1" t="str">
        <f aca="false">IF(T16=1,SUM(T$6:T16),"")</f>
        <v/>
      </c>
      <c r="V16" s="1" t="n">
        <f aca="false">IF(AND(R16="Ameaça",ISNUMBER(S16)),IF(S16&gt;=Parâmetros!$B$5,1,0),0)</f>
        <v>1</v>
      </c>
      <c r="W16" s="1" t="n">
        <f aca="false">IF(V16=1,SUM(V$6:V16),"")</f>
        <v>3</v>
      </c>
    </row>
    <row r="17" customFormat="false" ht="30" hidden="false" customHeight="true" outlineLevel="0" collapsed="false">
      <c r="A17" s="15"/>
      <c r="B17" s="16" t="str">
        <f aca="false">IF(C17="","",10)</f>
        <v/>
      </c>
      <c r="C17" s="17" t="str">
        <f aca="false">IFERROR(INDEX($K$6:$K$21,MATCH(10,$N$6:$N$21,0)),"")</f>
        <v/>
      </c>
      <c r="D17" s="18" t="str">
        <f aca="false">IFERROR(INDEX($M$6:$M$21,MATCH(10,$N$6:$N$21,0)),"")</f>
        <v/>
      </c>
      <c r="F17" s="19" t="n">
        <f aca="false">IF(G17="","",10)</f>
        <v>10</v>
      </c>
      <c r="G17" s="20" t="str">
        <f aca="false">IFERROR(INDEX($K$6:$K$21,MATCH(10,$O$6:$O$21,0)),"")</f>
        <v>[Estrutura Econômica e Fiscal] EST-05 – Receitas próprias / receita corrente (%)</v>
      </c>
      <c r="H17" s="21" t="n">
        <f aca="false">IFERROR(INDEX($M$6:$M$21,MATCH(10,$O$6:$O$21,0)),"")</f>
        <v>5.76</v>
      </c>
      <c r="K17" s="1" t="str">
        <f aca="false">Aux!B17</f>
        <v>[Estrutura Econômica e Fiscal] EST-01 – PIB per capita (R$)</v>
      </c>
      <c r="L17" s="1" t="str">
        <f aca="false">'Indicadores (F-W)'!U17</f>
        <v>Fraqueza</v>
      </c>
      <c r="M17" s="89" t="n">
        <f aca="false">IF('Indicadores (F-W)'!T17="","",'Indicadores (F-W)'!T17)</f>
        <v>39644.82</v>
      </c>
      <c r="N17" s="1" t="str">
        <f aca="false">IF(L17="Força",COUNTIF(L$6:L17,"Força"),"")</f>
        <v/>
      </c>
      <c r="O17" s="1" t="n">
        <f aca="false">IF(L17="Fraqueza",COUNTIF(L$6:L17,"Fraqueza"),"")</f>
        <v>6</v>
      </c>
    </row>
    <row r="18" customFormat="false" ht="30" hidden="false" customHeight="true" outlineLevel="0" collapsed="false">
      <c r="A18" s="15"/>
      <c r="B18" s="16" t="str">
        <f aca="false">IF(C18="","",11)</f>
        <v/>
      </c>
      <c r="C18" s="17" t="str">
        <f aca="false">IFERROR(INDEX($K$6:$K$21,MATCH(11,$N$6:$N$21,0)),"")</f>
        <v/>
      </c>
      <c r="D18" s="18" t="str">
        <f aca="false">IFERROR(INDEX($M$6:$M$21,MATCH(11,$N$6:$N$21,0)),"")</f>
        <v/>
      </c>
      <c r="F18" s="19" t="str">
        <f aca="false">IF(G18="","",11)</f>
        <v/>
      </c>
      <c r="G18" s="20" t="str">
        <f aca="false">IFERROR(INDEX($K$6:$K$21,MATCH(11,$O$6:$O$21,0)),"")</f>
        <v/>
      </c>
      <c r="H18" s="21" t="str">
        <f aca="false">IFERROR(INDEX($M$6:$M$21,MATCH(11,$O$6:$O$21,0)),"")</f>
        <v/>
      </c>
      <c r="K18" s="1" t="str">
        <f aca="false">Aux!B18</f>
        <v>[Estrutura Econômica e Fiscal] EST-02 – Participação da administração pública no VAB total (%)</v>
      </c>
      <c r="L18" s="1" t="str">
        <f aca="false">'Indicadores (F-W)'!U18</f>
        <v>Fraqueza</v>
      </c>
      <c r="M18" s="90" t="n">
        <f aca="false">IF('Indicadores (F-W)'!T18="","",'Indicadores (F-W)'!T18)</f>
        <v>26.83</v>
      </c>
      <c r="N18" s="1" t="str">
        <f aca="false">IF(L18="Força",COUNTIF(L$6:L18,"Força"),"")</f>
        <v/>
      </c>
      <c r="O18" s="1" t="n">
        <f aca="false">IF(L18="Fraqueza",COUNTIF(L$6:L18,"Fraqueza"),"")</f>
        <v>7</v>
      </c>
    </row>
    <row r="19" customFormat="false" ht="30" hidden="false" customHeight="true" outlineLevel="0" collapsed="false">
      <c r="A19" s="15"/>
      <c r="B19" s="16" t="str">
        <f aca="false">IF(C19="","",12)</f>
        <v/>
      </c>
      <c r="C19" s="17" t="str">
        <f aca="false">IFERROR(INDEX($K$6:$K$21,MATCH(12,$N$6:$N$21,0)),"")</f>
        <v/>
      </c>
      <c r="D19" s="18" t="str">
        <f aca="false">IFERROR(INDEX($M$6:$M$21,MATCH(12,$N$6:$N$21,0)),"")</f>
        <v/>
      </c>
      <c r="F19" s="19" t="str">
        <f aca="false">IF(G19="","",12)</f>
        <v/>
      </c>
      <c r="G19" s="20" t="str">
        <f aca="false">IFERROR(INDEX($K$6:$K$21,MATCH(12,$O$6:$O$21,0)),"")</f>
        <v/>
      </c>
      <c r="H19" s="21" t="str">
        <f aca="false">IFERROR(INDEX($M$6:$M$21,MATCH(12,$O$6:$O$21,0)),"")</f>
        <v/>
      </c>
      <c r="K19" s="1" t="str">
        <f aca="false">Aux!B19</f>
        <v>[Estrutura Econômica e Fiscal] EST-03 – Vínculos formais por 100 habitantes (vínculos/100 hab.)</v>
      </c>
      <c r="L19" s="1" t="str">
        <f aca="false">'Indicadores (F-W)'!U19</f>
        <v>Fraqueza</v>
      </c>
      <c r="M19" s="88" t="n">
        <f aca="false">IF('Indicadores (F-W)'!T19="","",'Indicadores (F-W)'!T19)</f>
        <v>14.32</v>
      </c>
      <c r="N19" s="1" t="str">
        <f aca="false">IF(L19="Força",COUNTIF(L$6:L19,"Força"),"")</f>
        <v/>
      </c>
      <c r="O19" s="1" t="n">
        <f aca="false">IF(L19="Fraqueza",COUNTIF(L$6:L19,"Fraqueza"),"")</f>
        <v>8</v>
      </c>
    </row>
    <row r="20" customFormat="false" ht="15" hidden="false" customHeight="true" outlineLevel="0" collapsed="false">
      <c r="C20" s="22" t="str">
        <f aca="false">IF(COUNTIF($L$6:$L$21,"Força")&gt;12,"+ "&amp;(COUNTIF($L$6:$L$21,"Força")-12)&amp;" item(ns) não exibido(s)","")</f>
        <v/>
      </c>
      <c r="G20" s="22" t="str">
        <f aca="false">IF(COUNTIF($L$6:$L$21,"Fraqueza")&gt;12,"+ "&amp;(COUNTIF($L$6:$L$21,"Fraqueza")-12)&amp;" item(ns) não exibido(s)","")</f>
        <v/>
      </c>
      <c r="K20" s="1" t="str">
        <f aca="false">Aux!B20</f>
        <v>[Estrutura Econômica e Fiscal] EST-04 – Concentração setorial do emprego formal (HHI por seção CNAE) (índice 0–1)</v>
      </c>
      <c r="L20" s="1" t="str">
        <f aca="false">'Indicadores (F-W)'!U20</f>
        <v>Fraqueza</v>
      </c>
      <c r="M20" s="93" t="n">
        <f aca="false">IF('Indicadores (F-W)'!T20="","",'Indicadores (F-W)'!T20)</f>
        <v>0.3147</v>
      </c>
      <c r="N20" s="1" t="str">
        <f aca="false">IF(L20="Força",COUNTIF(L$6:L20,"Força"),"")</f>
        <v/>
      </c>
      <c r="O20" s="1" t="n">
        <f aca="false">IF(L20="Fraqueza",COUNTIF(L$6:L20,"Fraqueza"),"")</f>
        <v>9</v>
      </c>
    </row>
    <row r="21" customFormat="false" ht="15" hidden="false" customHeight="true" outlineLevel="0" collapsed="false">
      <c r="K21" s="1" t="str">
        <f aca="false">Aux!B21</f>
        <v>[Estrutura Econômica e Fiscal] EST-05 – Receitas próprias / receita corrente (%)</v>
      </c>
      <c r="L21" s="1" t="str">
        <f aca="false">'Indicadores (F-W)'!U21</f>
        <v>Fraqueza</v>
      </c>
      <c r="M21" s="88" t="n">
        <f aca="false">IF('Indicadores (F-W)'!T21="","",'Indicadores (F-W)'!T21)</f>
        <v>5.76</v>
      </c>
      <c r="N21" s="1" t="str">
        <f aca="false">IF(L21="Força",COUNTIF(L$6:L21,"Força"),"")</f>
        <v/>
      </c>
      <c r="O21" s="1" t="n">
        <f aca="false">IF(L21="Fraqueza",COUNTIF(L$6:L21,"Fraqueza"),"")</f>
        <v>10</v>
      </c>
    </row>
    <row r="22" customFormat="false" ht="15" hidden="false" customHeight="true" outlineLevel="0" collapsed="false">
      <c r="B22" s="23" t="str">
        <f aca="false">"OPORTUNIDADES (O) — "&amp;SUM($T$6:$T$16)&amp;" item(ns)"</f>
        <v>OPORTUNIDADES (O) — 2 item(ns)</v>
      </c>
      <c r="C22" s="23"/>
      <c r="D22" s="23"/>
      <c r="F22" s="24" t="str">
        <f aca="false">"AMEAÇAS (T) — "&amp;SUM($V$6:$V$16)&amp;" item(ns)"</f>
        <v>AMEAÇAS (T) — 3 item(ns)</v>
      </c>
      <c r="G22" s="24"/>
      <c r="H22" s="24"/>
    </row>
    <row r="23" customFormat="false" ht="15" hidden="false" customHeight="true" outlineLevel="0" collapsed="false">
      <c r="B23" s="25" t="s">
        <v>29</v>
      </c>
      <c r="C23" s="25" t="s">
        <v>30</v>
      </c>
      <c r="D23" s="25" t="s">
        <v>33</v>
      </c>
      <c r="F23" s="26" t="s">
        <v>29</v>
      </c>
      <c r="G23" s="26" t="s">
        <v>30</v>
      </c>
      <c r="H23" s="26" t="s">
        <v>33</v>
      </c>
    </row>
    <row r="24" customFormat="false" ht="30" hidden="false" customHeight="true" outlineLevel="0" collapsed="false">
      <c r="A24" s="15" t="s">
        <v>34</v>
      </c>
      <c r="B24" s="27" t="n">
        <f aca="false">IF(C24="","",1)</f>
        <v>1</v>
      </c>
      <c r="C24" s="28" t="str">
        <f aca="false">IFERROR(INDEX($Q$6:$Q$16,MATCH(1,$U$6:$U$16,0)),"")</f>
        <v>[Agropecuária] OP-01 – Demanda externa por carne bovina e proteína animal</v>
      </c>
      <c r="D24" s="29" t="n">
        <f aca="false">IFERROR(INDEX($S$6:$S$16,MATCH(1,$U$6:$U$16,0)),"")</f>
        <v>2</v>
      </c>
      <c r="F24" s="30" t="n">
        <f aca="false">IF(G24="","",1)</f>
        <v>1</v>
      </c>
      <c r="G24" s="31" t="str">
        <f aca="false">IFERROR(INDEX($Q$6:$Q$16,MATCH(1,$W$6:$W$16,0)),"")</f>
        <v>[Agropecuária] AM-02 – Volatilidade de preços de commodities (boi gordo, soja, milho)</v>
      </c>
      <c r="H24" s="32" t="n">
        <f aca="false">IFERROR(INDEX($S$6:$S$16,MATCH(1,$W$6:$W$16,0)),"")</f>
        <v>2</v>
      </c>
    </row>
    <row r="25" customFormat="false" ht="30" hidden="false" customHeight="true" outlineLevel="0" collapsed="false">
      <c r="A25" s="15"/>
      <c r="B25" s="27" t="n">
        <f aca="false">IF(C25="","",2)</f>
        <v>2</v>
      </c>
      <c r="C25" s="28" t="str">
        <f aca="false">IFERROR(INDEX($Q$6:$Q$16,MATCH(2,$U$6:$U$16,0)),"")</f>
        <v>[Estrutura Econômica e Fiscal] OP-06 – Instrumentos de fomento e financiamento (FCO, crédito rural, PSA, mercado de carbono)</v>
      </c>
      <c r="D25" s="29" t="n">
        <f aca="false">IFERROR(INDEX($S$6:$S$16,MATCH(2,$U$6:$U$16,0)),"")</f>
        <v>2</v>
      </c>
      <c r="F25" s="30" t="n">
        <f aca="false">IF(G25="","",2)</f>
        <v>2</v>
      </c>
      <c r="G25" s="31" t="str">
        <f aca="false">IFERROR(INDEX($Q$6:$Q$16,MATCH(2,$W$6:$W$16,0)),"")</f>
        <v>[Agropecuária] AM-03 – Exigências ambientais de mercados importadores e barreiras ligadas a desmatamento (ex.: EUDR)</v>
      </c>
      <c r="H25" s="32" t="n">
        <f aca="false">IFERROR(INDEX($S$6:$S$16,MATCH(2,$W$6:$W$16,0)),"")</f>
        <v>2</v>
      </c>
    </row>
    <row r="26" customFormat="false" ht="30" hidden="false" customHeight="true" outlineLevel="0" collapsed="false">
      <c r="A26" s="15"/>
      <c r="B26" s="27" t="str">
        <f aca="false">IF(C26="","",3)</f>
        <v/>
      </c>
      <c r="C26" s="28" t="str">
        <f aca="false">IFERROR(INDEX($Q$6:$Q$16,MATCH(3,$U$6:$U$16,0)),"")</f>
        <v/>
      </c>
      <c r="D26" s="29" t="str">
        <f aca="false">IFERROR(INDEX($S$6:$S$16,MATCH(3,$U$6:$U$16,0)),"")</f>
        <v/>
      </c>
      <c r="F26" s="30" t="n">
        <f aca="false">IF(G26="","",3)</f>
        <v>3</v>
      </c>
      <c r="G26" s="31" t="str">
        <f aca="false">IFERROR(INDEX($Q$6:$Q$16,MATCH(3,$W$6:$W$16,0)),"")</f>
        <v>[Comércio e Serviços] AM-05 – Polarização regional por centros maiores (evasão de consumo, serviços e mão de obra)</v>
      </c>
      <c r="H26" s="32" t="n">
        <f aca="false">IFERROR(INDEX($S$6:$S$16,MATCH(3,$W$6:$W$16,0)),"")</f>
        <v>3</v>
      </c>
    </row>
    <row r="27" customFormat="false" ht="30" hidden="false" customHeight="true" outlineLevel="0" collapsed="false">
      <c r="A27" s="15"/>
      <c r="B27" s="27" t="str">
        <f aca="false">IF(C27="","",4)</f>
        <v/>
      </c>
      <c r="C27" s="28" t="str">
        <f aca="false">IFERROR(INDEX($Q$6:$Q$16,MATCH(4,$U$6:$U$16,0)),"")</f>
        <v/>
      </c>
      <c r="D27" s="29" t="str">
        <f aca="false">IFERROR(INDEX($S$6:$S$16,MATCH(4,$U$6:$U$16,0)),"")</f>
        <v/>
      </c>
      <c r="F27" s="30" t="str">
        <f aca="false">IF(G27="","",4)</f>
        <v/>
      </c>
      <c r="G27" s="31" t="str">
        <f aca="false">IFERROR(INDEX($Q$6:$Q$16,MATCH(4,$W$6:$W$16,0)),"")</f>
        <v/>
      </c>
      <c r="H27" s="32" t="str">
        <f aca="false">IFERROR(INDEX($S$6:$S$16,MATCH(4,$W$6:$W$16,0)),"")</f>
        <v/>
      </c>
    </row>
    <row r="28" customFormat="false" ht="30" hidden="false" customHeight="true" outlineLevel="0" collapsed="false">
      <c r="A28" s="15"/>
      <c r="B28" s="27" t="str">
        <f aca="false">IF(C28="","",5)</f>
        <v/>
      </c>
      <c r="C28" s="28" t="str">
        <f aca="false">IFERROR(INDEX($Q$6:$Q$16,MATCH(5,$U$6:$U$16,0)),"")</f>
        <v/>
      </c>
      <c r="D28" s="29" t="str">
        <f aca="false">IFERROR(INDEX($S$6:$S$16,MATCH(5,$U$6:$U$16,0)),"")</f>
        <v/>
      </c>
      <c r="F28" s="30" t="str">
        <f aca="false">IF(G28="","",5)</f>
        <v/>
      </c>
      <c r="G28" s="31" t="str">
        <f aca="false">IFERROR(INDEX($Q$6:$Q$16,MATCH(5,$W$6:$W$16,0)),"")</f>
        <v/>
      </c>
      <c r="H28" s="32" t="str">
        <f aca="false">IFERROR(INDEX($S$6:$S$16,MATCH(5,$W$6:$W$16,0)),"")</f>
        <v/>
      </c>
    </row>
    <row r="29" customFormat="false" ht="30" hidden="false" customHeight="true" outlineLevel="0" collapsed="false">
      <c r="A29" s="15"/>
      <c r="B29" s="27" t="str">
        <f aca="false">IF(C29="","",6)</f>
        <v/>
      </c>
      <c r="C29" s="28" t="str">
        <f aca="false">IFERROR(INDEX($Q$6:$Q$16,MATCH(6,$U$6:$U$16,0)),"")</f>
        <v/>
      </c>
      <c r="D29" s="29" t="str">
        <f aca="false">IFERROR(INDEX($S$6:$S$16,MATCH(6,$U$6:$U$16,0)),"")</f>
        <v/>
      </c>
      <c r="F29" s="30" t="str">
        <f aca="false">IF(G29="","",6)</f>
        <v/>
      </c>
      <c r="G29" s="31" t="str">
        <f aca="false">IFERROR(INDEX($Q$6:$Q$16,MATCH(6,$W$6:$W$16,0)),"")</f>
        <v/>
      </c>
      <c r="H29" s="32" t="str">
        <f aca="false">IFERROR(INDEX($S$6:$S$16,MATCH(6,$W$6:$W$16,0)),"")</f>
        <v/>
      </c>
    </row>
    <row r="30" customFormat="false" ht="30" hidden="false" customHeight="true" outlineLevel="0" collapsed="false">
      <c r="A30" s="15"/>
      <c r="B30" s="27" t="str">
        <f aca="false">IF(C30="","",7)</f>
        <v/>
      </c>
      <c r="C30" s="28" t="str">
        <f aca="false">IFERROR(INDEX($Q$6:$Q$16,MATCH(7,$U$6:$U$16,0)),"")</f>
        <v/>
      </c>
      <c r="D30" s="29" t="str">
        <f aca="false">IFERROR(INDEX($S$6:$S$16,MATCH(7,$U$6:$U$16,0)),"")</f>
        <v/>
      </c>
      <c r="F30" s="30" t="str">
        <f aca="false">IF(G30="","",7)</f>
        <v/>
      </c>
      <c r="G30" s="31" t="str">
        <f aca="false">IFERROR(INDEX($Q$6:$Q$16,MATCH(7,$W$6:$W$16,0)),"")</f>
        <v/>
      </c>
      <c r="H30" s="32" t="str">
        <f aca="false">IFERROR(INDEX($S$6:$S$16,MATCH(7,$W$6:$W$16,0)),"")</f>
        <v/>
      </c>
    </row>
    <row r="31" customFormat="false" ht="30" hidden="false" customHeight="true" outlineLevel="0" collapsed="false">
      <c r="A31" s="15"/>
      <c r="B31" s="27" t="str">
        <f aca="false">IF(C31="","",8)</f>
        <v/>
      </c>
      <c r="C31" s="28" t="str">
        <f aca="false">IFERROR(INDEX($Q$6:$Q$16,MATCH(8,$U$6:$U$16,0)),"")</f>
        <v/>
      </c>
      <c r="D31" s="29" t="str">
        <f aca="false">IFERROR(INDEX($S$6:$S$16,MATCH(8,$U$6:$U$16,0)),"")</f>
        <v/>
      </c>
      <c r="F31" s="30" t="str">
        <f aca="false">IF(G31="","",8)</f>
        <v/>
      </c>
      <c r="G31" s="31" t="str">
        <f aca="false">IFERROR(INDEX($Q$6:$Q$16,MATCH(8,$W$6:$W$16,0)),"")</f>
        <v/>
      </c>
      <c r="H31" s="32" t="str">
        <f aca="false">IFERROR(INDEX($S$6:$S$16,MATCH(8,$W$6:$W$16,0)),"")</f>
        <v/>
      </c>
    </row>
    <row r="32" customFormat="false" ht="30" hidden="false" customHeight="true" outlineLevel="0" collapsed="false">
      <c r="A32" s="15"/>
      <c r="B32" s="27" t="str">
        <f aca="false">IF(C32="","",9)</f>
        <v/>
      </c>
      <c r="C32" s="28" t="str">
        <f aca="false">IFERROR(INDEX($Q$6:$Q$16,MATCH(9,$U$6:$U$16,0)),"")</f>
        <v/>
      </c>
      <c r="D32" s="29" t="str">
        <f aca="false">IFERROR(INDEX($S$6:$S$16,MATCH(9,$U$6:$U$16,0)),"")</f>
        <v/>
      </c>
      <c r="F32" s="30" t="str">
        <f aca="false">IF(G32="","",9)</f>
        <v/>
      </c>
      <c r="G32" s="31" t="str">
        <f aca="false">IFERROR(INDEX($Q$6:$Q$16,MATCH(9,$W$6:$W$16,0)),"")</f>
        <v/>
      </c>
      <c r="H32" s="32" t="str">
        <f aca="false">IFERROR(INDEX($S$6:$S$16,MATCH(9,$W$6:$W$16,0)),"")</f>
        <v/>
      </c>
    </row>
    <row r="33" customFormat="false" ht="30" hidden="false" customHeight="true" outlineLevel="0" collapsed="false">
      <c r="A33" s="15"/>
      <c r="B33" s="27" t="str">
        <f aca="false">IF(C33="","",10)</f>
        <v/>
      </c>
      <c r="C33" s="28" t="str">
        <f aca="false">IFERROR(INDEX($Q$6:$Q$16,MATCH(10,$U$6:$U$16,0)),"")</f>
        <v/>
      </c>
      <c r="D33" s="29" t="str">
        <f aca="false">IFERROR(INDEX($S$6:$S$16,MATCH(10,$U$6:$U$16,0)),"")</f>
        <v/>
      </c>
      <c r="F33" s="30" t="str">
        <f aca="false">IF(G33="","",10)</f>
        <v/>
      </c>
      <c r="G33" s="31" t="str">
        <f aca="false">IFERROR(INDEX($Q$6:$Q$16,MATCH(10,$W$6:$W$16,0)),"")</f>
        <v/>
      </c>
      <c r="H33" s="32" t="str">
        <f aca="false">IFERROR(INDEX($S$6:$S$16,MATCH(10,$W$6:$W$16,0)),"")</f>
        <v/>
      </c>
    </row>
    <row r="34" customFormat="false" ht="30" hidden="false" customHeight="true" outlineLevel="0" collapsed="false">
      <c r="A34" s="15"/>
      <c r="B34" s="27" t="str">
        <f aca="false">IF(C34="","",11)</f>
        <v/>
      </c>
      <c r="C34" s="28" t="str">
        <f aca="false">IFERROR(INDEX($Q$6:$Q$16,MATCH(11,$U$6:$U$16,0)),"")</f>
        <v/>
      </c>
      <c r="D34" s="29" t="str">
        <f aca="false">IFERROR(INDEX($S$6:$S$16,MATCH(11,$U$6:$U$16,0)),"")</f>
        <v/>
      </c>
      <c r="F34" s="30" t="str">
        <f aca="false">IF(G34="","",11)</f>
        <v/>
      </c>
      <c r="G34" s="31" t="str">
        <f aca="false">IFERROR(INDEX($Q$6:$Q$16,MATCH(11,$W$6:$W$16,0)),"")</f>
        <v/>
      </c>
      <c r="H34" s="32" t="str">
        <f aca="false">IFERROR(INDEX($S$6:$S$16,MATCH(11,$W$6:$W$16,0)),"")</f>
        <v/>
      </c>
    </row>
    <row r="35" customFormat="false" ht="30" hidden="false" customHeight="true" outlineLevel="0" collapsed="false">
      <c r="A35" s="15"/>
      <c r="B35" s="27" t="str">
        <f aca="false">IF(C35="","",12)</f>
        <v/>
      </c>
      <c r="C35" s="28" t="str">
        <f aca="false">IFERROR(INDEX($Q$6:$Q$16,MATCH(12,$U$6:$U$16,0)),"")</f>
        <v/>
      </c>
      <c r="D35" s="29" t="str">
        <f aca="false">IFERROR(INDEX($S$6:$S$16,MATCH(12,$U$6:$U$16,0)),"")</f>
        <v/>
      </c>
      <c r="F35" s="30" t="str">
        <f aca="false">IF(G35="","",12)</f>
        <v/>
      </c>
      <c r="G35" s="31" t="str">
        <f aca="false">IFERROR(INDEX($Q$6:$Q$16,MATCH(12,$W$6:$W$16,0)),"")</f>
        <v/>
      </c>
      <c r="H35" s="32" t="str">
        <f aca="false">IFERROR(INDEX($S$6:$S$16,MATCH(12,$W$6:$W$16,0)),"")</f>
        <v/>
      </c>
    </row>
    <row r="36" customFormat="false" ht="15" hidden="false" customHeight="true" outlineLevel="0" collapsed="false">
      <c r="C36" s="22" t="str">
        <f aca="false">IF(SUM($T$6:$T$16)&gt;12,"+ "&amp;(SUM($T$6:$T$16)-12)&amp;" item(ns) não exibido(s)","")</f>
        <v/>
      </c>
      <c r="G36" s="22" t="str">
        <f aca="false">IF(SUM($V$6:$V$16)&gt;12,"+ "&amp;(SUM($V$6:$V$16)-12)&amp;" item(ns) não exibido(s)","")</f>
        <v/>
      </c>
    </row>
    <row r="38" customFormat="false" ht="15" hidden="false" customHeight="true" outlineLevel="0" collapsed="false">
      <c r="B38" s="33" t="s">
        <v>329</v>
      </c>
    </row>
  </sheetData>
  <mergeCells count="8">
    <mergeCell ref="B5:D5"/>
    <mergeCell ref="F5:H5"/>
    <mergeCell ref="B6:D6"/>
    <mergeCell ref="F6:H6"/>
    <mergeCell ref="A8:A19"/>
    <mergeCell ref="B22:D22"/>
    <mergeCell ref="F22:H22"/>
    <mergeCell ref="A24:A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W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"/>
    <col collapsed="false" customWidth="true" hidden="false" outlineLevel="0" max="3" min="3" style="1" width="55"/>
    <col collapsed="false" customWidth="true" hidden="false" outlineLevel="0" max="4" min="4" style="1" width="12"/>
    <col collapsed="false" customWidth="true" hidden="false" outlineLevel="0" max="5" min="5" style="1" width="2"/>
    <col collapsed="false" customWidth="true" hidden="false" outlineLevel="0" max="6" min="6" style="1" width="5"/>
    <col collapsed="false" customWidth="true" hidden="false" outlineLevel="0" max="7" min="7" style="1" width="55"/>
    <col collapsed="false" customWidth="true" hidden="false" outlineLevel="0" max="8" min="8" style="1" width="12"/>
    <col collapsed="false" customWidth="true" hidden="true" outlineLevel="0" max="23" min="11" style="1" width="13"/>
  </cols>
  <sheetData>
    <row r="1" customFormat="false" ht="17.25" hidden="false" customHeight="true" outlineLevel="0" collapsed="false">
      <c r="B1" s="91" t="s">
        <v>333</v>
      </c>
    </row>
    <row r="2" customFormat="false" ht="15" hidden="false" customHeight="true" outlineLevel="0" collapsed="false">
      <c r="B2" s="9" t="s">
        <v>328</v>
      </c>
    </row>
    <row r="3" customFormat="false" ht="15" hidden="false" customHeight="true" outlineLevel="0" collapsed="false">
      <c r="B3" s="92" t="str">
        <f aca="false">"Indicadores internos com dado: "&amp;(COUNTA(L6:L21)-COUNTBLANK(L6:L21))&amp;" de 16  |  Neutros: "&amp;COUNTIF(L6:L21,"Neutro")&amp;"  |  Fatores externos pontuados: "&amp;COUNT(S6:S16)&amp;" de 11"</f>
        <v>Indicadores internos com dado: 14 de 16  |  Neutros: 1  |  Fatores externos pontuados: 11 de 11</v>
      </c>
    </row>
    <row r="5" customFormat="false" ht="15" hidden="false" customHeight="true" outlineLevel="0" collapsed="false">
      <c r="B5" s="10" t="s">
        <v>27</v>
      </c>
      <c r="C5" s="10"/>
      <c r="D5" s="10"/>
      <c r="F5" s="10" t="s">
        <v>28</v>
      </c>
      <c r="G5" s="10"/>
      <c r="H5" s="10"/>
    </row>
    <row r="6" customFormat="false" ht="15" hidden="false" customHeight="true" outlineLevel="0" collapsed="false">
      <c r="B6" s="11" t="str">
        <f aca="false">"FORÇAS (S) — "&amp;COUNTIF($L$6:$L$21,"Força")&amp;" item(ns)"</f>
        <v>FORÇAS (S) — 7 item(ns)</v>
      </c>
      <c r="C6" s="11"/>
      <c r="D6" s="11"/>
      <c r="F6" s="12" t="str">
        <f aca="false">"FRAQUEZAS (W) — "&amp;COUNTIF($L$6:$L$21,"Fraqueza")&amp;" item(ns)"</f>
        <v>FRAQUEZAS (W) — 6 item(ns)</v>
      </c>
      <c r="G6" s="12"/>
      <c r="H6" s="12"/>
      <c r="K6" s="1" t="str">
        <f aca="false">Aux!B6</f>
        <v>[Agropecuária] AGR-01 – Quociente locacional do VAB agropecuário (base MT) (índice)</v>
      </c>
      <c r="L6" s="1" t="str">
        <f aca="false">'Indicadores (F-W)'!W6</f>
        <v>Força</v>
      </c>
      <c r="M6" s="87" t="n">
        <f aca="false">IF('Indicadores (F-W)'!V6="","",'Indicadores (F-W)'!V6)</f>
        <v>1.6266</v>
      </c>
      <c r="N6" s="1" t="n">
        <f aca="false">IF(L6="Força",COUNTIF(L$6:L6,"Força"),"")</f>
        <v>1</v>
      </c>
      <c r="O6" s="1" t="str">
        <f aca="false">IF(L6="Fraqueza",COUNTIF(L$6:L6,"Fraqueza"),"")</f>
        <v/>
      </c>
      <c r="Q6" s="1" t="str">
        <f aca="false">Aux!I6</f>
        <v>[Agropecuária] OP-01 – Demanda externa por carne bovina e proteína animal</v>
      </c>
      <c r="R6" s="1" t="str">
        <f aca="false">Aux!J6</f>
        <v>Oportunidade</v>
      </c>
      <c r="S6" s="1" t="n">
        <f aca="false">IF('Fatores Externos (O-A)'!J6="","",'Fatores Externos (O-A)'!J6)</f>
        <v>2</v>
      </c>
      <c r="T6" s="1" t="n">
        <f aca="false">IF(AND(R6="Oportunidade",ISNUMBER(S6)),IF(S6&gt;=Parâmetros!$B$5,1,0),0)</f>
        <v>1</v>
      </c>
      <c r="U6" s="1" t="n">
        <f aca="false">IF(T6=1,SUM(T$6:T6),"")</f>
        <v>1</v>
      </c>
      <c r="V6" s="1" t="n">
        <f aca="false">IF(AND(R6="Ameaça",ISNUMBER(S6)),IF(S6&gt;=Parâmetros!$B$5,1,0),0)</f>
        <v>0</v>
      </c>
      <c r="W6" s="1" t="str">
        <f aca="false">IF(V6=1,SUM(V$6:V6),"")</f>
        <v/>
      </c>
    </row>
    <row r="7" customFormat="false" ht="15" hidden="false" customHeight="true" outlineLevel="0" collapsed="false">
      <c r="B7" s="13" t="s">
        <v>29</v>
      </c>
      <c r="C7" s="13" t="s">
        <v>30</v>
      </c>
      <c r="D7" s="13" t="s">
        <v>31</v>
      </c>
      <c r="F7" s="14" t="s">
        <v>29</v>
      </c>
      <c r="G7" s="14" t="s">
        <v>30</v>
      </c>
      <c r="H7" s="14" t="s">
        <v>31</v>
      </c>
      <c r="K7" s="1" t="str">
        <f aca="false">Aux!B7</f>
        <v>[Agropecuária] AGR-02 – Valor da produção das lavouras por área colhida (R$/ha)</v>
      </c>
      <c r="L7" s="1" t="str">
        <f aca="false">'Indicadores (F-W)'!W7</f>
        <v>Neutro</v>
      </c>
      <c r="M7" s="88" t="n">
        <f aca="false">IF('Indicadores (F-W)'!V7="","",'Indicadores (F-W)'!V7)</f>
        <v>5402.93</v>
      </c>
      <c r="N7" s="1" t="str">
        <f aca="false">IF(L7="Força",COUNTIF(L$6:L7,"Força"),"")</f>
        <v/>
      </c>
      <c r="O7" s="1" t="str">
        <f aca="false">IF(L7="Fraqueza",COUNTIF(L$6:L7,"Fraqueza"),"")</f>
        <v/>
      </c>
      <c r="Q7" s="1" t="str">
        <f aca="false">Aux!I7</f>
        <v>[Agropecuária] OP-02 – Mercados para produtos diferenciados e certificados (carne sustentável/orgânica, origem Pantanal)</v>
      </c>
      <c r="R7" s="1" t="str">
        <f aca="false">Aux!J7</f>
        <v>Oportunidade</v>
      </c>
      <c r="S7" s="1" t="n">
        <f aca="false">IF('Fatores Externos (O-A)'!J7="","",'Fatores Externos (O-A)'!J7)</f>
        <v>2</v>
      </c>
      <c r="T7" s="1" t="n">
        <f aca="false">IF(AND(R7="Oportunidade",ISNUMBER(S7)),IF(S7&gt;=Parâmetros!$B$5,1,0),0)</f>
        <v>1</v>
      </c>
      <c r="U7" s="1" t="n">
        <f aca="false">IF(T7=1,SUM(T$6:T7),"")</f>
        <v>2</v>
      </c>
      <c r="V7" s="1" t="n">
        <f aca="false">IF(AND(R7="Ameaça",ISNUMBER(S7)),IF(S7&gt;=Parâmetros!$B$5,1,0),0)</f>
        <v>0</v>
      </c>
      <c r="W7" s="1" t="str">
        <f aca="false">IF(V7=1,SUM(V$6:V7),"")</f>
        <v/>
      </c>
    </row>
    <row r="8" customFormat="false" ht="30" hidden="false" customHeight="true" outlineLevel="0" collapsed="false">
      <c r="A8" s="15" t="s">
        <v>32</v>
      </c>
      <c r="B8" s="16" t="n">
        <f aca="false">IF(C8="","",1)</f>
        <v>1</v>
      </c>
      <c r="C8" s="17" t="str">
        <f aca="false">IFERROR(INDEX($K$6:$K$21,MATCH(1,$N$6:$N$21,0)),"")</f>
        <v>[Agropecuária] AGR-01 – Quociente locacional do VAB agropecuário (base MT) (índice)</v>
      </c>
      <c r="D8" s="18" t="n">
        <f aca="false">IFERROR(INDEX($M$6:$M$21,MATCH(1,$N$6:$N$21,0)),"")</f>
        <v>1.6266</v>
      </c>
      <c r="F8" s="19" t="n">
        <f aca="false">IF(G8="","",1)</f>
        <v>1</v>
      </c>
      <c r="G8" s="20" t="str">
        <f aca="false">IFERROR(INDEX($K$6:$K$21,MATCH(1,$O$6:$O$21,0)),"")</f>
        <v>[Indústria] IND-03 – Remuneração média do emprego formal industrial (R$)</v>
      </c>
      <c r="H8" s="21" t="n">
        <f aca="false">IFERROR(INDEX($M$6:$M$21,MATCH(1,$O$6:$O$21,0)),"")</f>
        <v>1503.38</v>
      </c>
      <c r="K8" s="1" t="str">
        <f aca="false">Aux!B8</f>
        <v>[Agropecuária] AGR-03 – Variação do efetivo bovino em 5 anos (%)</v>
      </c>
      <c r="L8" s="1" t="str">
        <f aca="false">'Indicadores (F-W)'!W8</f>
        <v>Força</v>
      </c>
      <c r="M8" s="88" t="n">
        <f aca="false">IF('Indicadores (F-W)'!V8="","",'Indicadores (F-W)'!V8)</f>
        <v>26.4</v>
      </c>
      <c r="N8" s="1" t="n">
        <f aca="false">IF(L8="Força",COUNTIF(L$6:L8,"Força"),"")</f>
        <v>2</v>
      </c>
      <c r="O8" s="1" t="str">
        <f aca="false">IF(L8="Fraqueza",COUNTIF(L$6:L8,"Fraqueza"),"")</f>
        <v/>
      </c>
      <c r="Q8" s="1" t="str">
        <f aca="false">Aux!I8</f>
        <v>[Comércio e Serviços] OP-03 – Expansão do turismo de natureza, pesca esportiva e ecoturismo</v>
      </c>
      <c r="R8" s="1" t="str">
        <f aca="false">Aux!J8</f>
        <v>Oportunidade</v>
      </c>
      <c r="S8" s="1" t="n">
        <f aca="false">IF('Fatores Externos (O-A)'!J8="","",'Fatores Externos (O-A)'!J8)</f>
        <v>1</v>
      </c>
      <c r="T8" s="1" t="n">
        <f aca="false">IF(AND(R8="Oportunidade",ISNUMBER(S8)),IF(S8&gt;=Parâmetros!$B$5,1,0),0)</f>
        <v>0</v>
      </c>
      <c r="U8" s="1" t="str">
        <f aca="false">IF(T8=1,SUM(T$6:T8),"")</f>
        <v/>
      </c>
      <c r="V8" s="1" t="n">
        <f aca="false">IF(AND(R8="Ameaça",ISNUMBER(S8)),IF(S8&gt;=Parâmetros!$B$5,1,0),0)</f>
        <v>0</v>
      </c>
      <c r="W8" s="1" t="str">
        <f aca="false">IF(V8=1,SUM(V$6:V8),"")</f>
        <v/>
      </c>
    </row>
    <row r="9" customFormat="false" ht="30" hidden="false" customHeight="true" outlineLevel="0" collapsed="false">
      <c r="A9" s="15"/>
      <c r="B9" s="16" t="n">
        <f aca="false">IF(C9="","",2)</f>
        <v>2</v>
      </c>
      <c r="C9" s="17" t="str">
        <f aca="false">IFERROR(INDEX($K$6:$K$21,MATCH(2,$N$6:$N$21,0)),"")</f>
        <v>[Agropecuária] AGR-03 – Variação do efetivo bovino em 5 anos (%)</v>
      </c>
      <c r="D9" s="18" t="n">
        <f aca="false">IFERROR(INDEX($M$6:$M$21,MATCH(2,$N$6:$N$21,0)),"")</f>
        <v>26.4</v>
      </c>
      <c r="F9" s="19" t="n">
        <f aca="false">IF(G9="","",2)</f>
        <v>2</v>
      </c>
      <c r="G9" s="20" t="str">
        <f aca="false">IFERROR(INDEX($K$6:$K$21,MATCH(2,$O$6:$O$21,0)),"")</f>
        <v>[Comércio e Serviços] CS-01 – Quociente locacional do VAB de serviços, exceto adm. pública (base MT) (índice)</v>
      </c>
      <c r="H9" s="21" t="n">
        <f aca="false">IFERROR(INDEX($M$6:$M$21,MATCH(2,$O$6:$O$21,0)),"")</f>
        <v>0.3623</v>
      </c>
      <c r="K9" s="1" t="str">
        <f aca="false">Aux!B9</f>
        <v>[Agropecuária] AGR-04 – Estabelecimentos agropecuários que receberam assistência técnica (%)</v>
      </c>
      <c r="L9" s="1" t="str">
        <f aca="false">'Indicadores (F-W)'!W9</f>
        <v/>
      </c>
      <c r="M9" s="1" t="str">
        <f aca="false">IF('Indicadores (F-W)'!V9="","",'Indicadores (F-W)'!V9)</f>
        <v/>
      </c>
      <c r="N9" s="1" t="str">
        <f aca="false">IF(L9="Força",COUNTIF(L$6:L9,"Força"),"")</f>
        <v/>
      </c>
      <c r="O9" s="1" t="str">
        <f aca="false">IF(L9="Fraqueza",COUNTIF(L$6:L9,"Fraqueza"),"")</f>
        <v/>
      </c>
      <c r="Q9" s="1" t="str">
        <f aca="false">Aux!I9</f>
        <v>[Indústria] OP-04 – Agroindustrialização e verticalização (frigoríficos, laticínios, sucroenergético)</v>
      </c>
      <c r="R9" s="1" t="str">
        <f aca="false">Aux!J9</f>
        <v>Oportunidade</v>
      </c>
      <c r="S9" s="1" t="n">
        <f aca="false">IF('Fatores Externos (O-A)'!J9="","",'Fatores Externos (O-A)'!J9)</f>
        <v>2</v>
      </c>
      <c r="T9" s="1" t="n">
        <f aca="false">IF(AND(R9="Oportunidade",ISNUMBER(S9)),IF(S9&gt;=Parâmetros!$B$5,1,0),0)</f>
        <v>1</v>
      </c>
      <c r="U9" s="1" t="n">
        <f aca="false">IF(T9=1,SUM(T$6:T9),"")</f>
        <v>3</v>
      </c>
      <c r="V9" s="1" t="n">
        <f aca="false">IF(AND(R9="Ameaça",ISNUMBER(S9)),IF(S9&gt;=Parâmetros!$B$5,1,0),0)</f>
        <v>0</v>
      </c>
      <c r="W9" s="1" t="str">
        <f aca="false">IF(V9=1,SUM(V$6:V9),"")</f>
        <v/>
      </c>
    </row>
    <row r="10" customFormat="false" ht="30" hidden="false" customHeight="true" outlineLevel="0" collapsed="false">
      <c r="A10" s="15"/>
      <c r="B10" s="16" t="n">
        <f aca="false">IF(C10="","",3)</f>
        <v>3</v>
      </c>
      <c r="C10" s="17" t="str">
        <f aca="false">IFERROR(INDEX($K$6:$K$21,MATCH(3,$N$6:$N$21,0)),"")</f>
        <v>[Indústria] IND-01 – Quociente locacional do VAB industrial (base MT) (índice)</v>
      </c>
      <c r="D10" s="18" t="n">
        <f aca="false">IFERROR(INDEX($M$6:$M$21,MATCH(3,$N$6:$N$21,0)),"")</f>
        <v>1.2891</v>
      </c>
      <c r="F10" s="19" t="n">
        <f aca="false">IF(G10="","",3)</f>
        <v>3</v>
      </c>
      <c r="G10" s="20" t="str">
        <f aca="false">IFERROR(INDEX($K$6:$K$21,MATCH(3,$O$6:$O$21,0)),"")</f>
        <v>[Comércio e Serviços] CS-02 – Variação do emprego formal em comércio e serviços em 5 anos (%)</v>
      </c>
      <c r="H10" s="21" t="n">
        <f aca="false">IFERROR(INDEX($M$6:$M$21,MATCH(3,$O$6:$O$21,0)),"")</f>
        <v>27.74</v>
      </c>
      <c r="K10" s="1" t="str">
        <f aca="false">Aux!B10</f>
        <v>[Agropecuária] AGR-05 – Diversificação agrícola (1 − HHI do valor da produção das lavouras) (índice 0–1)</v>
      </c>
      <c r="L10" s="1" t="str">
        <f aca="false">'Indicadores (F-W)'!W10</f>
        <v/>
      </c>
      <c r="M10" s="1" t="str">
        <f aca="false">IF('Indicadores (F-W)'!V10="","",'Indicadores (F-W)'!V10)</f>
        <v/>
      </c>
      <c r="N10" s="1" t="str">
        <f aca="false">IF(L10="Força",COUNTIF(L$6:L10,"Força"),"")</f>
        <v/>
      </c>
      <c r="O10" s="1" t="str">
        <f aca="false">IF(L10="Fraqueza",COUNTIF(L$6:L10,"Fraqueza"),"")</f>
        <v/>
      </c>
      <c r="Q10" s="1" t="str">
        <f aca="false">Aux!I10</f>
        <v>[Estrutura Econômica e Fiscal] OP-05 – Corredores logísticos (rodovias federais, ferrovia, hidrovia do Paraguai)</v>
      </c>
      <c r="R10" s="1" t="str">
        <f aca="false">Aux!J10</f>
        <v>Oportunidade</v>
      </c>
      <c r="S10" s="1" t="n">
        <f aca="false">IF('Fatores Externos (O-A)'!J10="","",'Fatores Externos (O-A)'!J10)</f>
        <v>2</v>
      </c>
      <c r="T10" s="1" t="n">
        <f aca="false">IF(AND(R10="Oportunidade",ISNUMBER(S10)),IF(S10&gt;=Parâmetros!$B$5,1,0),0)</f>
        <v>1</v>
      </c>
      <c r="U10" s="1" t="n">
        <f aca="false">IF(T10=1,SUM(T$6:T10),"")</f>
        <v>4</v>
      </c>
      <c r="V10" s="1" t="n">
        <f aca="false">IF(AND(R10="Ameaça",ISNUMBER(S10)),IF(S10&gt;=Parâmetros!$B$5,1,0),0)</f>
        <v>0</v>
      </c>
      <c r="W10" s="1" t="str">
        <f aca="false">IF(V10=1,SUM(V$6:V10),"")</f>
        <v/>
      </c>
    </row>
    <row r="11" customFormat="false" ht="30" hidden="false" customHeight="true" outlineLevel="0" collapsed="false">
      <c r="A11" s="15"/>
      <c r="B11" s="16" t="n">
        <f aca="false">IF(C11="","",4)</f>
        <v>4</v>
      </c>
      <c r="C11" s="17" t="str">
        <f aca="false">IFERROR(INDEX($K$6:$K$21,MATCH(4,$N$6:$N$21,0)),"")</f>
        <v>[Indústria] IND-02 – Variação do emprego formal na indústria em 5 anos (%)</v>
      </c>
      <c r="D11" s="18" t="n">
        <f aca="false">IFERROR(INDEX($M$6:$M$21,MATCH(4,$N$6:$N$21,0)),"")</f>
        <v>123.51</v>
      </c>
      <c r="F11" s="19" t="n">
        <f aca="false">IF(G11="","",4)</f>
        <v>4</v>
      </c>
      <c r="G11" s="20" t="str">
        <f aca="false">IFERROR(INDEX($K$6:$K$21,MATCH(4,$O$6:$O$21,0)),"")</f>
        <v>[Comércio e Serviços] CS-03 – Empresas e outras organizações ativas por mil habitantes (un./mil hab.)</v>
      </c>
      <c r="H11" s="21" t="n">
        <f aca="false">IFERROR(INDEX($M$6:$M$21,MATCH(4,$O$6:$O$21,0)),"")</f>
        <v>21.49</v>
      </c>
      <c r="K11" s="1" t="str">
        <f aca="false">Aux!B11</f>
        <v>[Indústria] IND-01 – Quociente locacional do VAB industrial (base MT) (índice)</v>
      </c>
      <c r="L11" s="1" t="str">
        <f aca="false">'Indicadores (F-W)'!W11</f>
        <v>Força</v>
      </c>
      <c r="M11" s="87" t="n">
        <f aca="false">IF('Indicadores (F-W)'!V11="","",'Indicadores (F-W)'!V11)</f>
        <v>1.2891</v>
      </c>
      <c r="N11" s="1" t="n">
        <f aca="false">IF(L11="Força",COUNTIF(L$6:L11,"Força"),"")</f>
        <v>3</v>
      </c>
      <c r="O11" s="1" t="str">
        <f aca="false">IF(L11="Fraqueza",COUNTIF(L$6:L11,"Fraqueza"),"")</f>
        <v/>
      </c>
      <c r="Q11" s="1" t="str">
        <f aca="false">Aux!I11</f>
        <v>[Estrutura Econômica e Fiscal] OP-06 – Instrumentos de fomento e financiamento (FCO, crédito rural, PSA, mercado de carbono)</v>
      </c>
      <c r="R11" s="1" t="str">
        <f aca="false">Aux!J11</f>
        <v>Oportunidade</v>
      </c>
      <c r="S11" s="1" t="n">
        <f aca="false">IF('Fatores Externos (O-A)'!J11="","",'Fatores Externos (O-A)'!J11)</f>
        <v>3</v>
      </c>
      <c r="T11" s="1" t="n">
        <f aca="false">IF(AND(R11="Oportunidade",ISNUMBER(S11)),IF(S11&gt;=Parâmetros!$B$5,1,0),0)</f>
        <v>1</v>
      </c>
      <c r="U11" s="1" t="n">
        <f aca="false">IF(T11=1,SUM(T$6:T11),"")</f>
        <v>5</v>
      </c>
      <c r="V11" s="1" t="n">
        <f aca="false">IF(AND(R11="Ameaça",ISNUMBER(S11)),IF(S11&gt;=Parâmetros!$B$5,1,0),0)</f>
        <v>0</v>
      </c>
      <c r="W11" s="1" t="str">
        <f aca="false">IF(V11=1,SUM(V$6:V11),"")</f>
        <v/>
      </c>
    </row>
    <row r="12" customFormat="false" ht="30" hidden="false" customHeight="true" outlineLevel="0" collapsed="false">
      <c r="A12" s="15"/>
      <c r="B12" s="16" t="n">
        <f aca="false">IF(C12="","",5)</f>
        <v>5</v>
      </c>
      <c r="C12" s="17" t="str">
        <f aca="false">IFERROR(INDEX($K$6:$K$21,MATCH(5,$N$6:$N$21,0)),"")</f>
        <v>[Estrutura Econômica e Fiscal] EST-01 – PIB per capita (R$)</v>
      </c>
      <c r="D12" s="18" t="n">
        <f aca="false">IFERROR(INDEX($M$6:$M$21,MATCH(5,$N$6:$N$21,0)),"")</f>
        <v>167482.75</v>
      </c>
      <c r="F12" s="19" t="n">
        <f aca="false">IF(G12="","",5)</f>
        <v>5</v>
      </c>
      <c r="G12" s="20" t="str">
        <f aca="false">IFERROR(INDEX($K$6:$K$21,MATCH(5,$O$6:$O$21,0)),"")</f>
        <v>[Estrutura Econômica e Fiscal] EST-04 – Concentração setorial do emprego formal (HHI por seção CNAE) (índice 0–1)</v>
      </c>
      <c r="H12" s="21" t="n">
        <f aca="false">IFERROR(INDEX($M$6:$M$21,MATCH(5,$O$6:$O$21,0)),"")</f>
        <v>0.363</v>
      </c>
      <c r="K12" s="1" t="str">
        <f aca="false">Aux!B12</f>
        <v>[Indústria] IND-02 – Variação do emprego formal na indústria em 5 anos (%)</v>
      </c>
      <c r="L12" s="1" t="str">
        <f aca="false">'Indicadores (F-W)'!W12</f>
        <v>Força</v>
      </c>
      <c r="M12" s="88" t="n">
        <f aca="false">IF('Indicadores (F-W)'!V12="","",'Indicadores (F-W)'!V12)</f>
        <v>123.51</v>
      </c>
      <c r="N12" s="1" t="n">
        <f aca="false">IF(L12="Força",COUNTIF(L$6:L12,"Força"),"")</f>
        <v>4</v>
      </c>
      <c r="O12" s="1" t="str">
        <f aca="false">IF(L12="Fraqueza",COUNTIF(L$6:L12,"Fraqueza"),"")</f>
        <v/>
      </c>
      <c r="Q12" s="1" t="str">
        <f aca="false">Aux!I12</f>
        <v>[Agropecuária] AM-01 – Eventos climáticos extremos: secas prolongadas e incêndios no Pantanal</v>
      </c>
      <c r="R12" s="1" t="str">
        <f aca="false">Aux!J12</f>
        <v>Ameaça</v>
      </c>
      <c r="S12" s="1" t="n">
        <f aca="false">IF('Fatores Externos (O-A)'!J12="","",'Fatores Externos (O-A)'!J12)</f>
        <v>2</v>
      </c>
      <c r="T12" s="1" t="n">
        <f aca="false">IF(AND(R12="Oportunidade",ISNUMBER(S12)),IF(S12&gt;=Parâmetros!$B$5,1,0),0)</f>
        <v>0</v>
      </c>
      <c r="U12" s="1" t="str">
        <f aca="false">IF(T12=1,SUM(T$6:T12),"")</f>
        <v/>
      </c>
      <c r="V12" s="1" t="n">
        <f aca="false">IF(AND(R12="Ameaça",ISNUMBER(S12)),IF(S12&gt;=Parâmetros!$B$5,1,0),0)</f>
        <v>1</v>
      </c>
      <c r="W12" s="1" t="n">
        <f aca="false">IF(V12=1,SUM(V$6:V12),"")</f>
        <v>1</v>
      </c>
    </row>
    <row r="13" customFormat="false" ht="30" hidden="false" customHeight="true" outlineLevel="0" collapsed="false">
      <c r="A13" s="15"/>
      <c r="B13" s="16" t="n">
        <f aca="false">IF(C13="","",6)</f>
        <v>6</v>
      </c>
      <c r="C13" s="17" t="str">
        <f aca="false">IFERROR(INDEX($K$6:$K$21,MATCH(6,$N$6:$N$21,0)),"")</f>
        <v>[Estrutura Econômica e Fiscal] EST-02 – Participação da administração pública no VAB total (%)</v>
      </c>
      <c r="D13" s="18" t="n">
        <f aca="false">IFERROR(INDEX($M$6:$M$21,MATCH(6,$N$6:$N$21,0)),"")</f>
        <v>5.88</v>
      </c>
      <c r="F13" s="19" t="n">
        <f aca="false">IF(G13="","",6)</f>
        <v>6</v>
      </c>
      <c r="G13" s="20" t="str">
        <f aca="false">IFERROR(INDEX($K$6:$K$21,MATCH(6,$O$6:$O$21,0)),"")</f>
        <v>[Estrutura Econômica e Fiscal] EST-05 – Receitas próprias / receita corrente (%)</v>
      </c>
      <c r="H13" s="21" t="n">
        <f aca="false">IFERROR(INDEX($M$6:$M$21,MATCH(6,$O$6:$O$21,0)),"")</f>
        <v>11.87</v>
      </c>
      <c r="K13" s="1" t="str">
        <f aca="false">Aux!B13</f>
        <v>[Indústria] IND-03 – Remuneração média do emprego formal industrial (R$)</v>
      </c>
      <c r="L13" s="1" t="str">
        <f aca="false">'Indicadores (F-W)'!W13</f>
        <v>Fraqueza</v>
      </c>
      <c r="M13" s="88" t="n">
        <f aca="false">IF('Indicadores (F-W)'!V13="","",'Indicadores (F-W)'!V13)</f>
        <v>1503.38</v>
      </c>
      <c r="N13" s="1" t="str">
        <f aca="false">IF(L13="Força",COUNTIF(L$6:L13,"Força"),"")</f>
        <v/>
      </c>
      <c r="O13" s="1" t="n">
        <f aca="false">IF(L13="Fraqueza",COUNTIF(L$6:L13,"Fraqueza"),"")</f>
        <v>1</v>
      </c>
      <c r="Q13" s="1" t="str">
        <f aca="false">Aux!I13</f>
        <v>[Agropecuária] AM-02 – Volatilidade de preços de commodities (boi gordo, soja, milho)</v>
      </c>
      <c r="R13" s="1" t="str">
        <f aca="false">Aux!J13</f>
        <v>Ameaça</v>
      </c>
      <c r="S13" s="1" t="n">
        <f aca="false">IF('Fatores Externos (O-A)'!J13="","",'Fatores Externos (O-A)'!J13)</f>
        <v>3</v>
      </c>
      <c r="T13" s="1" t="n">
        <f aca="false">IF(AND(R13="Oportunidade",ISNUMBER(S13)),IF(S13&gt;=Parâmetros!$B$5,1,0),0)</f>
        <v>0</v>
      </c>
      <c r="U13" s="1" t="str">
        <f aca="false">IF(T13=1,SUM(T$6:T13),"")</f>
        <v/>
      </c>
      <c r="V13" s="1" t="n">
        <f aca="false">IF(AND(R13="Ameaça",ISNUMBER(S13)),IF(S13&gt;=Parâmetros!$B$5,1,0),0)</f>
        <v>1</v>
      </c>
      <c r="W13" s="1" t="n">
        <f aca="false">IF(V13=1,SUM(V$6:V13),"")</f>
        <v>2</v>
      </c>
    </row>
    <row r="14" customFormat="false" ht="30" hidden="false" customHeight="true" outlineLevel="0" collapsed="false">
      <c r="A14" s="15"/>
      <c r="B14" s="16" t="n">
        <f aca="false">IF(C14="","",7)</f>
        <v>7</v>
      </c>
      <c r="C14" s="17" t="str">
        <f aca="false">IFERROR(INDEX($K$6:$K$21,MATCH(7,$N$6:$N$21,0)),"")</f>
        <v>[Estrutura Econômica e Fiscal] EST-03 – Vínculos formais por 100 habitantes (vínculos/100 hab.)</v>
      </c>
      <c r="D14" s="18" t="n">
        <f aca="false">IFERROR(INDEX($M$6:$M$21,MATCH(7,$N$6:$N$21,0)),"")</f>
        <v>37.5</v>
      </c>
      <c r="F14" s="19" t="str">
        <f aca="false">IF(G14="","",7)</f>
        <v/>
      </c>
      <c r="G14" s="20" t="str">
        <f aca="false">IFERROR(INDEX($K$6:$K$21,MATCH(7,$O$6:$O$21,0)),"")</f>
        <v/>
      </c>
      <c r="H14" s="21" t="str">
        <f aca="false">IFERROR(INDEX($M$6:$M$21,MATCH(7,$O$6:$O$21,0)),"")</f>
        <v/>
      </c>
      <c r="K14" s="1" t="str">
        <f aca="false">Aux!B14</f>
        <v>[Comércio e Serviços] CS-01 – Quociente locacional do VAB de serviços, exceto adm. pública (base MT) (índice)</v>
      </c>
      <c r="L14" s="1" t="str">
        <f aca="false">'Indicadores (F-W)'!W14</f>
        <v>Fraqueza</v>
      </c>
      <c r="M14" s="87" t="n">
        <f aca="false">IF('Indicadores (F-W)'!V14="","",'Indicadores (F-W)'!V14)</f>
        <v>0.3623</v>
      </c>
      <c r="N14" s="1" t="str">
        <f aca="false">IF(L14="Força",COUNTIF(L$6:L14,"Força"),"")</f>
        <v/>
      </c>
      <c r="O14" s="1" t="n">
        <f aca="false">IF(L14="Fraqueza",COUNTIF(L$6:L14,"Fraqueza"),"")</f>
        <v>2</v>
      </c>
      <c r="Q14" s="1" t="str">
        <f aca="false">Aux!I14</f>
        <v>[Agropecuária] AM-03 – Exigências ambientais de mercados importadores e barreiras ligadas a desmatamento (ex.: EUDR)</v>
      </c>
      <c r="R14" s="1" t="str">
        <f aca="false">Aux!J14</f>
        <v>Ameaça</v>
      </c>
      <c r="S14" s="1" t="n">
        <f aca="false">IF('Fatores Externos (O-A)'!J14="","",'Fatores Externos (O-A)'!J14)</f>
        <v>3</v>
      </c>
      <c r="T14" s="1" t="n">
        <f aca="false">IF(AND(R14="Oportunidade",ISNUMBER(S14)),IF(S14&gt;=Parâmetros!$B$5,1,0),0)</f>
        <v>0</v>
      </c>
      <c r="U14" s="1" t="str">
        <f aca="false">IF(T14=1,SUM(T$6:T14),"")</f>
        <v/>
      </c>
      <c r="V14" s="1" t="n">
        <f aca="false">IF(AND(R14="Ameaça",ISNUMBER(S14)),IF(S14&gt;=Parâmetros!$B$5,1,0),0)</f>
        <v>1</v>
      </c>
      <c r="W14" s="1" t="n">
        <f aca="false">IF(V14=1,SUM(V$6:V14),"")</f>
        <v>3</v>
      </c>
    </row>
    <row r="15" customFormat="false" ht="30" hidden="false" customHeight="true" outlineLevel="0" collapsed="false">
      <c r="A15" s="15"/>
      <c r="B15" s="16" t="str">
        <f aca="false">IF(C15="","",8)</f>
        <v/>
      </c>
      <c r="C15" s="17" t="str">
        <f aca="false">IFERROR(INDEX($K$6:$K$21,MATCH(8,$N$6:$N$21,0)),"")</f>
        <v/>
      </c>
      <c r="D15" s="18" t="str">
        <f aca="false">IFERROR(INDEX($M$6:$M$21,MATCH(8,$N$6:$N$21,0)),"")</f>
        <v/>
      </c>
      <c r="F15" s="19" t="str">
        <f aca="false">IF(G15="","",8)</f>
        <v/>
      </c>
      <c r="G15" s="20" t="str">
        <f aca="false">IFERROR(INDEX($K$6:$K$21,MATCH(8,$O$6:$O$21,0)),"")</f>
        <v/>
      </c>
      <c r="H15" s="21" t="str">
        <f aca="false">IFERROR(INDEX($M$6:$M$21,MATCH(8,$O$6:$O$21,0)),"")</f>
        <v/>
      </c>
      <c r="K15" s="1" t="str">
        <f aca="false">Aux!B15</f>
        <v>[Comércio e Serviços] CS-02 – Variação do emprego formal em comércio e serviços em 5 anos (%)</v>
      </c>
      <c r="L15" s="1" t="str">
        <f aca="false">'Indicadores (F-W)'!W15</f>
        <v>Fraqueza</v>
      </c>
      <c r="M15" s="88" t="n">
        <f aca="false">IF('Indicadores (F-W)'!V15="","",'Indicadores (F-W)'!V15)</f>
        <v>27.74</v>
      </c>
      <c r="N15" s="1" t="str">
        <f aca="false">IF(L15="Força",COUNTIF(L$6:L15,"Força"),"")</f>
        <v/>
      </c>
      <c r="O15" s="1" t="n">
        <f aca="false">IF(L15="Fraqueza",COUNTIF(L$6:L15,"Fraqueza"),"")</f>
        <v>3</v>
      </c>
      <c r="Q15" s="1" t="str">
        <f aca="false">Aux!I15</f>
        <v>[Estrutura Econômica e Fiscal] AM-04 – Transição da Reforma Tributária (IBS/CBS) e efeitos sobre a repartição de receitas municipais</v>
      </c>
      <c r="R15" s="1" t="str">
        <f aca="false">Aux!J15</f>
        <v>Ameaça</v>
      </c>
      <c r="S15" s="1" t="n">
        <f aca="false">IF('Fatores Externos (O-A)'!J15="","",'Fatores Externos (O-A)'!J15)</f>
        <v>3</v>
      </c>
      <c r="T15" s="1" t="n">
        <f aca="false">IF(AND(R15="Oportunidade",ISNUMBER(S15)),IF(S15&gt;=Parâmetros!$B$5,1,0),0)</f>
        <v>0</v>
      </c>
      <c r="U15" s="1" t="str">
        <f aca="false">IF(T15=1,SUM(T$6:T15),"")</f>
        <v/>
      </c>
      <c r="V15" s="1" t="n">
        <f aca="false">IF(AND(R15="Ameaça",ISNUMBER(S15)),IF(S15&gt;=Parâmetros!$B$5,1,0),0)</f>
        <v>1</v>
      </c>
      <c r="W15" s="1" t="n">
        <f aca="false">IF(V15=1,SUM(V$6:V15),"")</f>
        <v>4</v>
      </c>
    </row>
    <row r="16" customFormat="false" ht="30" hidden="false" customHeight="true" outlineLevel="0" collapsed="false">
      <c r="A16" s="15"/>
      <c r="B16" s="16" t="str">
        <f aca="false">IF(C16="","",9)</f>
        <v/>
      </c>
      <c r="C16" s="17" t="str">
        <f aca="false">IFERROR(INDEX($K$6:$K$21,MATCH(9,$N$6:$N$21,0)),"")</f>
        <v/>
      </c>
      <c r="D16" s="18" t="str">
        <f aca="false">IFERROR(INDEX($M$6:$M$21,MATCH(9,$N$6:$N$21,0)),"")</f>
        <v/>
      </c>
      <c r="F16" s="19" t="str">
        <f aca="false">IF(G16="","",9)</f>
        <v/>
      </c>
      <c r="G16" s="20" t="str">
        <f aca="false">IFERROR(INDEX($K$6:$K$21,MATCH(9,$O$6:$O$21,0)),"")</f>
        <v/>
      </c>
      <c r="H16" s="21" t="str">
        <f aca="false">IFERROR(INDEX($M$6:$M$21,MATCH(9,$O$6:$O$21,0)),"")</f>
        <v/>
      </c>
      <c r="K16" s="1" t="str">
        <f aca="false">Aux!B16</f>
        <v>[Comércio e Serviços] CS-03 – Empresas e outras organizações ativas por mil habitantes (un./mil hab.)</v>
      </c>
      <c r="L16" s="1" t="str">
        <f aca="false">'Indicadores (F-W)'!W16</f>
        <v>Fraqueza</v>
      </c>
      <c r="M16" s="88" t="n">
        <f aca="false">IF('Indicadores (F-W)'!V16="","",'Indicadores (F-W)'!V16)</f>
        <v>21.49</v>
      </c>
      <c r="N16" s="1" t="str">
        <f aca="false">IF(L16="Força",COUNTIF(L$6:L16,"Força"),"")</f>
        <v/>
      </c>
      <c r="O16" s="1" t="n">
        <f aca="false">IF(L16="Fraqueza",COUNTIF(L$6:L16,"Fraqueza"),"")</f>
        <v>4</v>
      </c>
      <c r="Q16" s="1" t="str">
        <f aca="false">Aux!I16</f>
        <v>[Comércio e Serviços] AM-05 – Polarização regional por centros maiores (evasão de consumo, serviços e mão de obra)</v>
      </c>
      <c r="R16" s="1" t="str">
        <f aca="false">Aux!J16</f>
        <v>Ameaça</v>
      </c>
      <c r="S16" s="1" t="n">
        <f aca="false">IF('Fatores Externos (O-A)'!J16="","",'Fatores Externos (O-A)'!J16)</f>
        <v>2</v>
      </c>
      <c r="T16" s="1" t="n">
        <f aca="false">IF(AND(R16="Oportunidade",ISNUMBER(S16)),IF(S16&gt;=Parâmetros!$B$5,1,0),0)</f>
        <v>0</v>
      </c>
      <c r="U16" s="1" t="str">
        <f aca="false">IF(T16=1,SUM(T$6:T16),"")</f>
        <v/>
      </c>
      <c r="V16" s="1" t="n">
        <f aca="false">IF(AND(R16="Ameaça",ISNUMBER(S16)),IF(S16&gt;=Parâmetros!$B$5,1,0),0)</f>
        <v>1</v>
      </c>
      <c r="W16" s="1" t="n">
        <f aca="false">IF(V16=1,SUM(V$6:V16),"")</f>
        <v>5</v>
      </c>
    </row>
    <row r="17" customFormat="false" ht="30" hidden="false" customHeight="true" outlineLevel="0" collapsed="false">
      <c r="A17" s="15"/>
      <c r="B17" s="16" t="str">
        <f aca="false">IF(C17="","",10)</f>
        <v/>
      </c>
      <c r="C17" s="17" t="str">
        <f aca="false">IFERROR(INDEX($K$6:$K$21,MATCH(10,$N$6:$N$21,0)),"")</f>
        <v/>
      </c>
      <c r="D17" s="18" t="str">
        <f aca="false">IFERROR(INDEX($M$6:$M$21,MATCH(10,$N$6:$N$21,0)),"")</f>
        <v/>
      </c>
      <c r="F17" s="19" t="str">
        <f aca="false">IF(G17="","",10)</f>
        <v/>
      </c>
      <c r="G17" s="20" t="str">
        <f aca="false">IFERROR(INDEX($K$6:$K$21,MATCH(10,$O$6:$O$21,0)),"")</f>
        <v/>
      </c>
      <c r="H17" s="21" t="str">
        <f aca="false">IFERROR(INDEX($M$6:$M$21,MATCH(10,$O$6:$O$21,0)),"")</f>
        <v/>
      </c>
      <c r="K17" s="1" t="str">
        <f aca="false">Aux!B17</f>
        <v>[Estrutura Econômica e Fiscal] EST-01 – PIB per capita (R$)</v>
      </c>
      <c r="L17" s="1" t="str">
        <f aca="false">'Indicadores (F-W)'!W17</f>
        <v>Força</v>
      </c>
      <c r="M17" s="89" t="n">
        <f aca="false">IF('Indicadores (F-W)'!V17="","",'Indicadores (F-W)'!V17)</f>
        <v>167482.75</v>
      </c>
      <c r="N17" s="1" t="n">
        <f aca="false">IF(L17="Força",COUNTIF(L$6:L17,"Força"),"")</f>
        <v>5</v>
      </c>
      <c r="O17" s="1" t="str">
        <f aca="false">IF(L17="Fraqueza",COUNTIF(L$6:L17,"Fraqueza"),"")</f>
        <v/>
      </c>
    </row>
    <row r="18" customFormat="false" ht="30" hidden="false" customHeight="true" outlineLevel="0" collapsed="false">
      <c r="A18" s="15"/>
      <c r="B18" s="16" t="str">
        <f aca="false">IF(C18="","",11)</f>
        <v/>
      </c>
      <c r="C18" s="17" t="str">
        <f aca="false">IFERROR(INDEX($K$6:$K$21,MATCH(11,$N$6:$N$21,0)),"")</f>
        <v/>
      </c>
      <c r="D18" s="18" t="str">
        <f aca="false">IFERROR(INDEX($M$6:$M$21,MATCH(11,$N$6:$N$21,0)),"")</f>
        <v/>
      </c>
      <c r="F18" s="19" t="str">
        <f aca="false">IF(G18="","",11)</f>
        <v/>
      </c>
      <c r="G18" s="20" t="str">
        <f aca="false">IFERROR(INDEX($K$6:$K$21,MATCH(11,$O$6:$O$21,0)),"")</f>
        <v/>
      </c>
      <c r="H18" s="21" t="str">
        <f aca="false">IFERROR(INDEX($M$6:$M$21,MATCH(11,$O$6:$O$21,0)),"")</f>
        <v/>
      </c>
      <c r="K18" s="1" t="str">
        <f aca="false">Aux!B18</f>
        <v>[Estrutura Econômica e Fiscal] EST-02 – Participação da administração pública no VAB total (%)</v>
      </c>
      <c r="L18" s="1" t="str">
        <f aca="false">'Indicadores (F-W)'!W18</f>
        <v>Força</v>
      </c>
      <c r="M18" s="90" t="n">
        <f aca="false">IF('Indicadores (F-W)'!V18="","",'Indicadores (F-W)'!V18)</f>
        <v>5.88</v>
      </c>
      <c r="N18" s="1" t="n">
        <f aca="false">IF(L18="Força",COUNTIF(L$6:L18,"Força"),"")</f>
        <v>6</v>
      </c>
      <c r="O18" s="1" t="str">
        <f aca="false">IF(L18="Fraqueza",COUNTIF(L$6:L18,"Fraqueza"),"")</f>
        <v/>
      </c>
    </row>
    <row r="19" customFormat="false" ht="30" hidden="false" customHeight="true" outlineLevel="0" collapsed="false">
      <c r="A19" s="15"/>
      <c r="B19" s="16" t="str">
        <f aca="false">IF(C19="","",12)</f>
        <v/>
      </c>
      <c r="C19" s="17" t="str">
        <f aca="false">IFERROR(INDEX($K$6:$K$21,MATCH(12,$N$6:$N$21,0)),"")</f>
        <v/>
      </c>
      <c r="D19" s="18" t="str">
        <f aca="false">IFERROR(INDEX($M$6:$M$21,MATCH(12,$N$6:$N$21,0)),"")</f>
        <v/>
      </c>
      <c r="F19" s="19" t="str">
        <f aca="false">IF(G19="","",12)</f>
        <v/>
      </c>
      <c r="G19" s="20" t="str">
        <f aca="false">IFERROR(INDEX($K$6:$K$21,MATCH(12,$O$6:$O$21,0)),"")</f>
        <v/>
      </c>
      <c r="H19" s="21" t="str">
        <f aca="false">IFERROR(INDEX($M$6:$M$21,MATCH(12,$O$6:$O$21,0)),"")</f>
        <v/>
      </c>
      <c r="K19" s="1" t="str">
        <f aca="false">Aux!B19</f>
        <v>[Estrutura Econômica e Fiscal] EST-03 – Vínculos formais por 100 habitantes (vínculos/100 hab.)</v>
      </c>
      <c r="L19" s="1" t="str">
        <f aca="false">'Indicadores (F-W)'!W19</f>
        <v>Força</v>
      </c>
      <c r="M19" s="88" t="n">
        <f aca="false">IF('Indicadores (F-W)'!V19="","",'Indicadores (F-W)'!V19)</f>
        <v>37.5</v>
      </c>
      <c r="N19" s="1" t="n">
        <f aca="false">IF(L19="Força",COUNTIF(L$6:L19,"Força"),"")</f>
        <v>7</v>
      </c>
      <c r="O19" s="1" t="str">
        <f aca="false">IF(L19="Fraqueza",COUNTIF(L$6:L19,"Fraqueza"),"")</f>
        <v/>
      </c>
    </row>
    <row r="20" customFormat="false" ht="15" hidden="false" customHeight="true" outlineLevel="0" collapsed="false">
      <c r="C20" s="22" t="str">
        <f aca="false">IF(COUNTIF($L$6:$L$21,"Força")&gt;12,"+ "&amp;(COUNTIF($L$6:$L$21,"Força")-12)&amp;" item(ns) não exibido(s)","")</f>
        <v/>
      </c>
      <c r="G20" s="22" t="str">
        <f aca="false">IF(COUNTIF($L$6:$L$21,"Fraqueza")&gt;12,"+ "&amp;(COUNTIF($L$6:$L$21,"Fraqueza")-12)&amp;" item(ns) não exibido(s)","")</f>
        <v/>
      </c>
      <c r="K20" s="1" t="str">
        <f aca="false">Aux!B20</f>
        <v>[Estrutura Econômica e Fiscal] EST-04 – Concentração setorial do emprego formal (HHI por seção CNAE) (índice 0–1)</v>
      </c>
      <c r="L20" s="1" t="str">
        <f aca="false">'Indicadores (F-W)'!W20</f>
        <v>Fraqueza</v>
      </c>
      <c r="M20" s="93" t="n">
        <f aca="false">IF('Indicadores (F-W)'!V20="","",'Indicadores (F-W)'!V20)</f>
        <v>0.363</v>
      </c>
      <c r="N20" s="1" t="str">
        <f aca="false">IF(L20="Força",COUNTIF(L$6:L20,"Força"),"")</f>
        <v/>
      </c>
      <c r="O20" s="1" t="n">
        <f aca="false">IF(L20="Fraqueza",COUNTIF(L$6:L20,"Fraqueza"),"")</f>
        <v>5</v>
      </c>
    </row>
    <row r="21" customFormat="false" ht="15" hidden="false" customHeight="true" outlineLevel="0" collapsed="false">
      <c r="K21" s="1" t="str">
        <f aca="false">Aux!B21</f>
        <v>[Estrutura Econômica e Fiscal] EST-05 – Receitas próprias / receita corrente (%)</v>
      </c>
      <c r="L21" s="1" t="str">
        <f aca="false">'Indicadores (F-W)'!W21</f>
        <v>Fraqueza</v>
      </c>
      <c r="M21" s="88" t="n">
        <f aca="false">IF('Indicadores (F-W)'!V21="","",'Indicadores (F-W)'!V21)</f>
        <v>11.87</v>
      </c>
      <c r="N21" s="1" t="str">
        <f aca="false">IF(L21="Força",COUNTIF(L$6:L21,"Força"),"")</f>
        <v/>
      </c>
      <c r="O21" s="1" t="n">
        <f aca="false">IF(L21="Fraqueza",COUNTIF(L$6:L21,"Fraqueza"),"")</f>
        <v>6</v>
      </c>
    </row>
    <row r="22" customFormat="false" ht="15" hidden="false" customHeight="true" outlineLevel="0" collapsed="false">
      <c r="B22" s="23" t="str">
        <f aca="false">"OPORTUNIDADES (O) — "&amp;SUM($T$6:$T$16)&amp;" item(ns)"</f>
        <v>OPORTUNIDADES (O) — 5 item(ns)</v>
      </c>
      <c r="C22" s="23"/>
      <c r="D22" s="23"/>
      <c r="F22" s="24" t="str">
        <f aca="false">"AMEAÇAS (T) — "&amp;SUM($V$6:$V$16)&amp;" item(ns)"</f>
        <v>AMEAÇAS (T) — 5 item(ns)</v>
      </c>
      <c r="G22" s="24"/>
      <c r="H22" s="24"/>
    </row>
    <row r="23" customFormat="false" ht="15" hidden="false" customHeight="true" outlineLevel="0" collapsed="false">
      <c r="B23" s="25" t="s">
        <v>29</v>
      </c>
      <c r="C23" s="25" t="s">
        <v>30</v>
      </c>
      <c r="D23" s="25" t="s">
        <v>33</v>
      </c>
      <c r="F23" s="26" t="s">
        <v>29</v>
      </c>
      <c r="G23" s="26" t="s">
        <v>30</v>
      </c>
      <c r="H23" s="26" t="s">
        <v>33</v>
      </c>
    </row>
    <row r="24" customFormat="false" ht="30" hidden="false" customHeight="true" outlineLevel="0" collapsed="false">
      <c r="A24" s="15" t="s">
        <v>34</v>
      </c>
      <c r="B24" s="27" t="n">
        <f aca="false">IF(C24="","",1)</f>
        <v>1</v>
      </c>
      <c r="C24" s="28" t="str">
        <f aca="false">IFERROR(INDEX($Q$6:$Q$16,MATCH(1,$U$6:$U$16,0)),"")</f>
        <v>[Agropecuária] OP-01 – Demanda externa por carne bovina e proteína animal</v>
      </c>
      <c r="D24" s="29" t="n">
        <f aca="false">IFERROR(INDEX($S$6:$S$16,MATCH(1,$U$6:$U$16,0)),"")</f>
        <v>2</v>
      </c>
      <c r="F24" s="30" t="n">
        <f aca="false">IF(G24="","",1)</f>
        <v>1</v>
      </c>
      <c r="G24" s="31" t="str">
        <f aca="false">IFERROR(INDEX($Q$6:$Q$16,MATCH(1,$W$6:$W$16,0)),"")</f>
        <v>[Agropecuária] AM-01 – Eventos climáticos extremos: secas prolongadas e incêndios no Pantanal</v>
      </c>
      <c r="H24" s="32" t="n">
        <f aca="false">IFERROR(INDEX($S$6:$S$16,MATCH(1,$W$6:$W$16,0)),"")</f>
        <v>2</v>
      </c>
    </row>
    <row r="25" customFormat="false" ht="30" hidden="false" customHeight="true" outlineLevel="0" collapsed="false">
      <c r="A25" s="15"/>
      <c r="B25" s="27" t="n">
        <f aca="false">IF(C25="","",2)</f>
        <v>2</v>
      </c>
      <c r="C25" s="28" t="str">
        <f aca="false">IFERROR(INDEX($Q$6:$Q$16,MATCH(2,$U$6:$U$16,0)),"")</f>
        <v>[Agropecuária] OP-02 – Mercados para produtos diferenciados e certificados (carne sustentável/orgânica, origem Pantanal)</v>
      </c>
      <c r="D25" s="29" t="n">
        <f aca="false">IFERROR(INDEX($S$6:$S$16,MATCH(2,$U$6:$U$16,0)),"")</f>
        <v>2</v>
      </c>
      <c r="F25" s="30" t="n">
        <f aca="false">IF(G25="","",2)</f>
        <v>2</v>
      </c>
      <c r="G25" s="31" t="str">
        <f aca="false">IFERROR(INDEX($Q$6:$Q$16,MATCH(2,$W$6:$W$16,0)),"")</f>
        <v>[Agropecuária] AM-02 – Volatilidade de preços de commodities (boi gordo, soja, milho)</v>
      </c>
      <c r="H25" s="32" t="n">
        <f aca="false">IFERROR(INDEX($S$6:$S$16,MATCH(2,$W$6:$W$16,0)),"")</f>
        <v>3</v>
      </c>
    </row>
    <row r="26" customFormat="false" ht="30" hidden="false" customHeight="true" outlineLevel="0" collapsed="false">
      <c r="A26" s="15"/>
      <c r="B26" s="27" t="n">
        <f aca="false">IF(C26="","",3)</f>
        <v>3</v>
      </c>
      <c r="C26" s="28" t="str">
        <f aca="false">IFERROR(INDEX($Q$6:$Q$16,MATCH(3,$U$6:$U$16,0)),"")</f>
        <v>[Indústria] OP-04 – Agroindustrialização e verticalização (frigoríficos, laticínios, sucroenergético)</v>
      </c>
      <c r="D26" s="29" t="n">
        <f aca="false">IFERROR(INDEX($S$6:$S$16,MATCH(3,$U$6:$U$16,0)),"")</f>
        <v>2</v>
      </c>
      <c r="F26" s="30" t="n">
        <f aca="false">IF(G26="","",3)</f>
        <v>3</v>
      </c>
      <c r="G26" s="31" t="str">
        <f aca="false">IFERROR(INDEX($Q$6:$Q$16,MATCH(3,$W$6:$W$16,0)),"")</f>
        <v>[Agropecuária] AM-03 – Exigências ambientais de mercados importadores e barreiras ligadas a desmatamento (ex.: EUDR)</v>
      </c>
      <c r="H26" s="32" t="n">
        <f aca="false">IFERROR(INDEX($S$6:$S$16,MATCH(3,$W$6:$W$16,0)),"")</f>
        <v>3</v>
      </c>
    </row>
    <row r="27" customFormat="false" ht="30" hidden="false" customHeight="true" outlineLevel="0" collapsed="false">
      <c r="A27" s="15"/>
      <c r="B27" s="27" t="n">
        <f aca="false">IF(C27="","",4)</f>
        <v>4</v>
      </c>
      <c r="C27" s="28" t="str">
        <f aca="false">IFERROR(INDEX($Q$6:$Q$16,MATCH(4,$U$6:$U$16,0)),"")</f>
        <v>[Estrutura Econômica e Fiscal] OP-05 – Corredores logísticos (rodovias federais, ferrovia, hidrovia do Paraguai)</v>
      </c>
      <c r="D27" s="29" t="n">
        <f aca="false">IFERROR(INDEX($S$6:$S$16,MATCH(4,$U$6:$U$16,0)),"")</f>
        <v>2</v>
      </c>
      <c r="F27" s="30" t="n">
        <f aca="false">IF(G27="","",4)</f>
        <v>4</v>
      </c>
      <c r="G27" s="31" t="str">
        <f aca="false">IFERROR(INDEX($Q$6:$Q$16,MATCH(4,$W$6:$W$16,0)),"")</f>
        <v>[Estrutura Econômica e Fiscal] AM-04 – Transição da Reforma Tributária (IBS/CBS) e efeitos sobre a repartição de receitas municipais</v>
      </c>
      <c r="H27" s="32" t="n">
        <f aca="false">IFERROR(INDEX($S$6:$S$16,MATCH(4,$W$6:$W$16,0)),"")</f>
        <v>3</v>
      </c>
    </row>
    <row r="28" customFormat="false" ht="30" hidden="false" customHeight="true" outlineLevel="0" collapsed="false">
      <c r="A28" s="15"/>
      <c r="B28" s="27" t="n">
        <f aca="false">IF(C28="","",5)</f>
        <v>5</v>
      </c>
      <c r="C28" s="28" t="str">
        <f aca="false">IFERROR(INDEX($Q$6:$Q$16,MATCH(5,$U$6:$U$16,0)),"")</f>
        <v>[Estrutura Econômica e Fiscal] OP-06 – Instrumentos de fomento e financiamento (FCO, crédito rural, PSA, mercado de carbono)</v>
      </c>
      <c r="D28" s="29" t="n">
        <f aca="false">IFERROR(INDEX($S$6:$S$16,MATCH(5,$U$6:$U$16,0)),"")</f>
        <v>3</v>
      </c>
      <c r="F28" s="30" t="n">
        <f aca="false">IF(G28="","",5)</f>
        <v>5</v>
      </c>
      <c r="G28" s="31" t="str">
        <f aca="false">IFERROR(INDEX($Q$6:$Q$16,MATCH(5,$W$6:$W$16,0)),"")</f>
        <v>[Comércio e Serviços] AM-05 – Polarização regional por centros maiores (evasão de consumo, serviços e mão de obra)</v>
      </c>
      <c r="H28" s="32" t="n">
        <f aca="false">IFERROR(INDEX($S$6:$S$16,MATCH(5,$W$6:$W$16,0)),"")</f>
        <v>2</v>
      </c>
    </row>
    <row r="29" customFormat="false" ht="30" hidden="false" customHeight="true" outlineLevel="0" collapsed="false">
      <c r="A29" s="15"/>
      <c r="B29" s="27" t="str">
        <f aca="false">IF(C29="","",6)</f>
        <v/>
      </c>
      <c r="C29" s="28" t="str">
        <f aca="false">IFERROR(INDEX($Q$6:$Q$16,MATCH(6,$U$6:$U$16,0)),"")</f>
        <v/>
      </c>
      <c r="D29" s="29" t="str">
        <f aca="false">IFERROR(INDEX($S$6:$S$16,MATCH(6,$U$6:$U$16,0)),"")</f>
        <v/>
      </c>
      <c r="F29" s="30" t="str">
        <f aca="false">IF(G29="","",6)</f>
        <v/>
      </c>
      <c r="G29" s="31" t="str">
        <f aca="false">IFERROR(INDEX($Q$6:$Q$16,MATCH(6,$W$6:$W$16,0)),"")</f>
        <v/>
      </c>
      <c r="H29" s="32" t="str">
        <f aca="false">IFERROR(INDEX($S$6:$S$16,MATCH(6,$W$6:$W$16,0)),"")</f>
        <v/>
      </c>
    </row>
    <row r="30" customFormat="false" ht="30" hidden="false" customHeight="true" outlineLevel="0" collapsed="false">
      <c r="A30" s="15"/>
      <c r="B30" s="27" t="str">
        <f aca="false">IF(C30="","",7)</f>
        <v/>
      </c>
      <c r="C30" s="28" t="str">
        <f aca="false">IFERROR(INDEX($Q$6:$Q$16,MATCH(7,$U$6:$U$16,0)),"")</f>
        <v/>
      </c>
      <c r="D30" s="29" t="str">
        <f aca="false">IFERROR(INDEX($S$6:$S$16,MATCH(7,$U$6:$U$16,0)),"")</f>
        <v/>
      </c>
      <c r="F30" s="30" t="str">
        <f aca="false">IF(G30="","",7)</f>
        <v/>
      </c>
      <c r="G30" s="31" t="str">
        <f aca="false">IFERROR(INDEX($Q$6:$Q$16,MATCH(7,$W$6:$W$16,0)),"")</f>
        <v/>
      </c>
      <c r="H30" s="32" t="str">
        <f aca="false">IFERROR(INDEX($S$6:$S$16,MATCH(7,$W$6:$W$16,0)),"")</f>
        <v/>
      </c>
    </row>
    <row r="31" customFormat="false" ht="30" hidden="false" customHeight="true" outlineLevel="0" collapsed="false">
      <c r="A31" s="15"/>
      <c r="B31" s="27" t="str">
        <f aca="false">IF(C31="","",8)</f>
        <v/>
      </c>
      <c r="C31" s="28" t="str">
        <f aca="false">IFERROR(INDEX($Q$6:$Q$16,MATCH(8,$U$6:$U$16,0)),"")</f>
        <v/>
      </c>
      <c r="D31" s="29" t="str">
        <f aca="false">IFERROR(INDEX($S$6:$S$16,MATCH(8,$U$6:$U$16,0)),"")</f>
        <v/>
      </c>
      <c r="F31" s="30" t="str">
        <f aca="false">IF(G31="","",8)</f>
        <v/>
      </c>
      <c r="G31" s="31" t="str">
        <f aca="false">IFERROR(INDEX($Q$6:$Q$16,MATCH(8,$W$6:$W$16,0)),"")</f>
        <v/>
      </c>
      <c r="H31" s="32" t="str">
        <f aca="false">IFERROR(INDEX($S$6:$S$16,MATCH(8,$W$6:$W$16,0)),"")</f>
        <v/>
      </c>
    </row>
    <row r="32" customFormat="false" ht="30" hidden="false" customHeight="true" outlineLevel="0" collapsed="false">
      <c r="A32" s="15"/>
      <c r="B32" s="27" t="str">
        <f aca="false">IF(C32="","",9)</f>
        <v/>
      </c>
      <c r="C32" s="28" t="str">
        <f aca="false">IFERROR(INDEX($Q$6:$Q$16,MATCH(9,$U$6:$U$16,0)),"")</f>
        <v/>
      </c>
      <c r="D32" s="29" t="str">
        <f aca="false">IFERROR(INDEX($S$6:$S$16,MATCH(9,$U$6:$U$16,0)),"")</f>
        <v/>
      </c>
      <c r="F32" s="30" t="str">
        <f aca="false">IF(G32="","",9)</f>
        <v/>
      </c>
      <c r="G32" s="31" t="str">
        <f aca="false">IFERROR(INDEX($Q$6:$Q$16,MATCH(9,$W$6:$W$16,0)),"")</f>
        <v/>
      </c>
      <c r="H32" s="32" t="str">
        <f aca="false">IFERROR(INDEX($S$6:$S$16,MATCH(9,$W$6:$W$16,0)),"")</f>
        <v/>
      </c>
    </row>
    <row r="33" customFormat="false" ht="30" hidden="false" customHeight="true" outlineLevel="0" collapsed="false">
      <c r="A33" s="15"/>
      <c r="B33" s="27" t="str">
        <f aca="false">IF(C33="","",10)</f>
        <v/>
      </c>
      <c r="C33" s="28" t="str">
        <f aca="false">IFERROR(INDEX($Q$6:$Q$16,MATCH(10,$U$6:$U$16,0)),"")</f>
        <v/>
      </c>
      <c r="D33" s="29" t="str">
        <f aca="false">IFERROR(INDEX($S$6:$S$16,MATCH(10,$U$6:$U$16,0)),"")</f>
        <v/>
      </c>
      <c r="F33" s="30" t="str">
        <f aca="false">IF(G33="","",10)</f>
        <v/>
      </c>
      <c r="G33" s="31" t="str">
        <f aca="false">IFERROR(INDEX($Q$6:$Q$16,MATCH(10,$W$6:$W$16,0)),"")</f>
        <v/>
      </c>
      <c r="H33" s="32" t="str">
        <f aca="false">IFERROR(INDEX($S$6:$S$16,MATCH(10,$W$6:$W$16,0)),"")</f>
        <v/>
      </c>
    </row>
    <row r="34" customFormat="false" ht="30" hidden="false" customHeight="true" outlineLevel="0" collapsed="false">
      <c r="A34" s="15"/>
      <c r="B34" s="27" t="str">
        <f aca="false">IF(C34="","",11)</f>
        <v/>
      </c>
      <c r="C34" s="28" t="str">
        <f aca="false">IFERROR(INDEX($Q$6:$Q$16,MATCH(11,$U$6:$U$16,0)),"")</f>
        <v/>
      </c>
      <c r="D34" s="29" t="str">
        <f aca="false">IFERROR(INDEX($S$6:$S$16,MATCH(11,$U$6:$U$16,0)),"")</f>
        <v/>
      </c>
      <c r="F34" s="30" t="str">
        <f aca="false">IF(G34="","",11)</f>
        <v/>
      </c>
      <c r="G34" s="31" t="str">
        <f aca="false">IFERROR(INDEX($Q$6:$Q$16,MATCH(11,$W$6:$W$16,0)),"")</f>
        <v/>
      </c>
      <c r="H34" s="32" t="str">
        <f aca="false">IFERROR(INDEX($S$6:$S$16,MATCH(11,$W$6:$W$16,0)),"")</f>
        <v/>
      </c>
    </row>
    <row r="35" customFormat="false" ht="30" hidden="false" customHeight="true" outlineLevel="0" collapsed="false">
      <c r="A35" s="15"/>
      <c r="B35" s="27" t="str">
        <f aca="false">IF(C35="","",12)</f>
        <v/>
      </c>
      <c r="C35" s="28" t="str">
        <f aca="false">IFERROR(INDEX($Q$6:$Q$16,MATCH(12,$U$6:$U$16,0)),"")</f>
        <v/>
      </c>
      <c r="D35" s="29" t="str">
        <f aca="false">IFERROR(INDEX($S$6:$S$16,MATCH(12,$U$6:$U$16,0)),"")</f>
        <v/>
      </c>
      <c r="F35" s="30" t="str">
        <f aca="false">IF(G35="","",12)</f>
        <v/>
      </c>
      <c r="G35" s="31" t="str">
        <f aca="false">IFERROR(INDEX($Q$6:$Q$16,MATCH(12,$W$6:$W$16,0)),"")</f>
        <v/>
      </c>
      <c r="H35" s="32" t="str">
        <f aca="false">IFERROR(INDEX($S$6:$S$16,MATCH(12,$W$6:$W$16,0)),"")</f>
        <v/>
      </c>
    </row>
    <row r="36" customFormat="false" ht="15" hidden="false" customHeight="true" outlineLevel="0" collapsed="false">
      <c r="C36" s="22" t="str">
        <f aca="false">IF(SUM($T$6:$T$16)&gt;12,"+ "&amp;(SUM($T$6:$T$16)-12)&amp;" item(ns) não exibido(s)","")</f>
        <v/>
      </c>
      <c r="G36" s="22" t="str">
        <f aca="false">IF(SUM($V$6:$V$16)&gt;12,"+ "&amp;(SUM($V$6:$V$16)-12)&amp;" item(ns) não exibido(s)","")</f>
        <v/>
      </c>
    </row>
    <row r="38" customFormat="false" ht="15" hidden="false" customHeight="true" outlineLevel="0" collapsed="false">
      <c r="B38" s="33" t="s">
        <v>329</v>
      </c>
    </row>
  </sheetData>
  <mergeCells count="8">
    <mergeCell ref="B5:D5"/>
    <mergeCell ref="F5:H5"/>
    <mergeCell ref="B6:D6"/>
    <mergeCell ref="F6:H6"/>
    <mergeCell ref="A8:A19"/>
    <mergeCell ref="B22:D22"/>
    <mergeCell ref="F22:H22"/>
    <mergeCell ref="A24:A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W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"/>
    <col collapsed="false" customWidth="true" hidden="false" outlineLevel="0" max="3" min="3" style="1" width="55"/>
    <col collapsed="false" customWidth="true" hidden="false" outlineLevel="0" max="4" min="4" style="1" width="12"/>
    <col collapsed="false" customWidth="true" hidden="false" outlineLevel="0" max="5" min="5" style="1" width="2"/>
    <col collapsed="false" customWidth="true" hidden="false" outlineLevel="0" max="6" min="6" style="1" width="5"/>
    <col collapsed="false" customWidth="true" hidden="false" outlineLevel="0" max="7" min="7" style="1" width="55"/>
    <col collapsed="false" customWidth="true" hidden="false" outlineLevel="0" max="8" min="8" style="1" width="12"/>
    <col collapsed="false" customWidth="true" hidden="true" outlineLevel="0" max="23" min="11" style="1" width="13"/>
  </cols>
  <sheetData>
    <row r="1" customFormat="false" ht="17.25" hidden="false" customHeight="true" outlineLevel="0" collapsed="false">
      <c r="B1" s="91" t="s">
        <v>334</v>
      </c>
    </row>
    <row r="2" customFormat="false" ht="15" hidden="false" customHeight="true" outlineLevel="0" collapsed="false">
      <c r="B2" s="9" t="s">
        <v>328</v>
      </c>
    </row>
    <row r="3" customFormat="false" ht="15" hidden="false" customHeight="true" outlineLevel="0" collapsed="false">
      <c r="B3" s="92" t="str">
        <f aca="false">"Indicadores internos com dado: "&amp;(COUNTA(L6:L21)-COUNTBLANK(L6:L21))&amp;" de 16  |  Neutros: "&amp;COUNTIF(L6:L21,"Neutro")&amp;"  |  Fatores externos pontuados: "&amp;COUNT(S6:S16)&amp;" de 11"</f>
        <v>Indicadores internos com dado: 14 de 16  |  Neutros: 4  |  Fatores externos pontuados: 11 de 11</v>
      </c>
    </row>
    <row r="5" customFormat="false" ht="15" hidden="false" customHeight="true" outlineLevel="0" collapsed="false">
      <c r="B5" s="10" t="s">
        <v>27</v>
      </c>
      <c r="C5" s="10"/>
      <c r="D5" s="10"/>
      <c r="F5" s="10" t="s">
        <v>28</v>
      </c>
      <c r="G5" s="10"/>
      <c r="H5" s="10"/>
    </row>
    <row r="6" customFormat="false" ht="15" hidden="false" customHeight="true" outlineLevel="0" collapsed="false">
      <c r="B6" s="11" t="str">
        <f aca="false">"FORÇAS (S) — "&amp;COUNTIF($L$6:$L$21,"Força")&amp;" item(ns)"</f>
        <v>FORÇAS (S) — 3 item(ns)</v>
      </c>
      <c r="C6" s="11"/>
      <c r="D6" s="11"/>
      <c r="F6" s="12" t="str">
        <f aca="false">"FRAQUEZAS (W) — "&amp;COUNTIF($L$6:$L$21,"Fraqueza")&amp;" item(ns)"</f>
        <v>FRAQUEZAS (W) — 7 item(ns)</v>
      </c>
      <c r="G6" s="12"/>
      <c r="H6" s="12"/>
      <c r="K6" s="1" t="str">
        <f aca="false">Aux!B6</f>
        <v>[Agropecuária] AGR-01 – Quociente locacional do VAB agropecuário (base MT) (índice)</v>
      </c>
      <c r="L6" s="1" t="str">
        <f aca="false">'Indicadores (F-W)'!Y6</f>
        <v>Força</v>
      </c>
      <c r="M6" s="87" t="n">
        <f aca="false">IF('Indicadores (F-W)'!X6="","",'Indicadores (F-W)'!X6)</f>
        <v>1.319</v>
      </c>
      <c r="N6" s="1" t="n">
        <f aca="false">IF(L6="Força",COUNTIF(L$6:L6,"Força"),"")</f>
        <v>1</v>
      </c>
      <c r="O6" s="1" t="str">
        <f aca="false">IF(L6="Fraqueza",COUNTIF(L$6:L6,"Fraqueza"),"")</f>
        <v/>
      </c>
      <c r="Q6" s="1" t="str">
        <f aca="false">Aux!I6</f>
        <v>[Agropecuária] OP-01 – Demanda externa por carne bovina e proteína animal</v>
      </c>
      <c r="R6" s="1" t="str">
        <f aca="false">Aux!J6</f>
        <v>Oportunidade</v>
      </c>
      <c r="S6" s="1" t="n">
        <f aca="false">IF('Fatores Externos (O-A)'!K6="","",'Fatores Externos (O-A)'!K6)</f>
        <v>2</v>
      </c>
      <c r="T6" s="1" t="n">
        <f aca="false">IF(AND(R6="Oportunidade",ISNUMBER(S6)),IF(S6&gt;=Parâmetros!$B$5,1,0),0)</f>
        <v>1</v>
      </c>
      <c r="U6" s="1" t="n">
        <f aca="false">IF(T6=1,SUM(T$6:T6),"")</f>
        <v>1</v>
      </c>
      <c r="V6" s="1" t="n">
        <f aca="false">IF(AND(R6="Ameaça",ISNUMBER(S6)),IF(S6&gt;=Parâmetros!$B$5,1,0),0)</f>
        <v>0</v>
      </c>
      <c r="W6" s="1" t="str">
        <f aca="false">IF(V6=1,SUM(V$6:V6),"")</f>
        <v/>
      </c>
    </row>
    <row r="7" customFormat="false" ht="15" hidden="false" customHeight="true" outlineLevel="0" collapsed="false">
      <c r="B7" s="13" t="s">
        <v>29</v>
      </c>
      <c r="C7" s="13" t="s">
        <v>30</v>
      </c>
      <c r="D7" s="13" t="s">
        <v>31</v>
      </c>
      <c r="F7" s="14" t="s">
        <v>29</v>
      </c>
      <c r="G7" s="14" t="s">
        <v>30</v>
      </c>
      <c r="H7" s="14" t="s">
        <v>31</v>
      </c>
      <c r="K7" s="1" t="str">
        <f aca="false">Aux!B7</f>
        <v>[Agropecuária] AGR-02 – Valor da produção das lavouras por área colhida (R$/ha)</v>
      </c>
      <c r="L7" s="1" t="str">
        <f aca="false">'Indicadores (F-W)'!Y7</f>
        <v>Neutro</v>
      </c>
      <c r="M7" s="88" t="n">
        <f aca="false">IF('Indicadores (F-W)'!X7="","",'Indicadores (F-W)'!X7)</f>
        <v>5889.67</v>
      </c>
      <c r="N7" s="1" t="str">
        <f aca="false">IF(L7="Força",COUNTIF(L$6:L7,"Força"),"")</f>
        <v/>
      </c>
      <c r="O7" s="1" t="str">
        <f aca="false">IF(L7="Fraqueza",COUNTIF(L$6:L7,"Fraqueza"),"")</f>
        <v/>
      </c>
      <c r="Q7" s="1" t="str">
        <f aca="false">Aux!I7</f>
        <v>[Agropecuária] OP-02 – Mercados para produtos diferenciados e certificados (carne sustentável/orgânica, origem Pantanal)</v>
      </c>
      <c r="R7" s="1" t="str">
        <f aca="false">Aux!J7</f>
        <v>Oportunidade</v>
      </c>
      <c r="S7" s="1" t="n">
        <f aca="false">IF('Fatores Externos (O-A)'!K7="","",'Fatores Externos (O-A)'!K7)</f>
        <v>1</v>
      </c>
      <c r="T7" s="1" t="n">
        <f aca="false">IF(AND(R7="Oportunidade",ISNUMBER(S7)),IF(S7&gt;=Parâmetros!$B$5,1,0),0)</f>
        <v>0</v>
      </c>
      <c r="U7" s="1" t="str">
        <f aca="false">IF(T7=1,SUM(T$6:T7),"")</f>
        <v/>
      </c>
      <c r="V7" s="1" t="n">
        <f aca="false">IF(AND(R7="Ameaça",ISNUMBER(S7)),IF(S7&gt;=Parâmetros!$B$5,1,0),0)</f>
        <v>0</v>
      </c>
      <c r="W7" s="1" t="str">
        <f aca="false">IF(V7=1,SUM(V$6:V7),"")</f>
        <v/>
      </c>
    </row>
    <row r="8" customFormat="false" ht="30" hidden="false" customHeight="true" outlineLevel="0" collapsed="false">
      <c r="A8" s="15" t="s">
        <v>32</v>
      </c>
      <c r="B8" s="16" t="n">
        <f aca="false">IF(C8="","",1)</f>
        <v>1</v>
      </c>
      <c r="C8" s="17" t="str">
        <f aca="false">IFERROR(INDEX($K$6:$K$21,MATCH(1,$N$6:$N$21,0)),"")</f>
        <v>[Agropecuária] AGR-01 – Quociente locacional do VAB agropecuário (base MT) (índice)</v>
      </c>
      <c r="D8" s="18" t="n">
        <f aca="false">IFERROR(INDEX($M$6:$M$21,MATCH(1,$N$6:$N$21,0)),"")</f>
        <v>1.319</v>
      </c>
      <c r="F8" s="19" t="n">
        <f aca="false">IF(G8="","",1)</f>
        <v>1</v>
      </c>
      <c r="G8" s="20" t="str">
        <f aca="false">IFERROR(INDEX($K$6:$K$21,MATCH(1,$O$6:$O$21,0)),"")</f>
        <v>[Comércio e Serviços] CS-01 – Quociente locacional do VAB de serviços, exceto adm. pública (base MT) (índice)</v>
      </c>
      <c r="H8" s="21" t="n">
        <f aca="false">IFERROR(INDEX($M$6:$M$21,MATCH(1,$O$6:$O$21,0)),"")</f>
        <v>0.4388</v>
      </c>
      <c r="K8" s="1" t="str">
        <f aca="false">Aux!B8</f>
        <v>[Agropecuária] AGR-03 – Variação do efetivo bovino em 5 anos (%)</v>
      </c>
      <c r="L8" s="1" t="str">
        <f aca="false">'Indicadores (F-W)'!Y8</f>
        <v>Neutro</v>
      </c>
      <c r="M8" s="88" t="n">
        <f aca="false">IF('Indicadores (F-W)'!X8="","",'Indicadores (F-W)'!X8)</f>
        <v>1.8</v>
      </c>
      <c r="N8" s="1" t="str">
        <f aca="false">IF(L8="Força",COUNTIF(L$6:L8,"Força"),"")</f>
        <v/>
      </c>
      <c r="O8" s="1" t="str">
        <f aca="false">IF(L8="Fraqueza",COUNTIF(L$6:L8,"Fraqueza"),"")</f>
        <v/>
      </c>
      <c r="Q8" s="1" t="str">
        <f aca="false">Aux!I8</f>
        <v>[Comércio e Serviços] OP-03 – Expansão do turismo de natureza, pesca esportiva e ecoturismo</v>
      </c>
      <c r="R8" s="1" t="str">
        <f aca="false">Aux!J8</f>
        <v>Oportunidade</v>
      </c>
      <c r="S8" s="1" t="n">
        <f aca="false">IF('Fatores Externos (O-A)'!K8="","",'Fatores Externos (O-A)'!K8)</f>
        <v>2</v>
      </c>
      <c r="T8" s="1" t="n">
        <f aca="false">IF(AND(R8="Oportunidade",ISNUMBER(S8)),IF(S8&gt;=Parâmetros!$B$5,1,0),0)</f>
        <v>1</v>
      </c>
      <c r="U8" s="1" t="n">
        <f aca="false">IF(T8=1,SUM(T$6:T8),"")</f>
        <v>2</v>
      </c>
      <c r="V8" s="1" t="n">
        <f aca="false">IF(AND(R8="Ameaça",ISNUMBER(S8)),IF(S8&gt;=Parâmetros!$B$5,1,0),0)</f>
        <v>0</v>
      </c>
      <c r="W8" s="1" t="str">
        <f aca="false">IF(V8=1,SUM(V$6:V8),"")</f>
        <v/>
      </c>
    </row>
    <row r="9" customFormat="false" ht="30" hidden="false" customHeight="true" outlineLevel="0" collapsed="false">
      <c r="A9" s="15"/>
      <c r="B9" s="16" t="n">
        <f aca="false">IF(C9="","",2)</f>
        <v>2</v>
      </c>
      <c r="C9" s="17" t="str">
        <f aca="false">IFERROR(INDEX($K$6:$K$21,MATCH(2,$N$6:$N$21,0)),"")</f>
        <v>[Indústria] IND-02 – Variação do emprego formal na indústria em 5 anos (%)</v>
      </c>
      <c r="D9" s="18" t="n">
        <f aca="false">IFERROR(INDEX($M$6:$M$21,MATCH(2,$N$6:$N$21,0)),"")</f>
        <v>107.6</v>
      </c>
      <c r="F9" s="19" t="n">
        <f aca="false">IF(G9="","",2)</f>
        <v>2</v>
      </c>
      <c r="G9" s="20" t="str">
        <f aca="false">IFERROR(INDEX($K$6:$K$21,MATCH(2,$O$6:$O$21,0)),"")</f>
        <v>[Comércio e Serviços] CS-03 – Empresas e outras organizações ativas por mil habitantes (un./mil hab.)</v>
      </c>
      <c r="H9" s="21" t="n">
        <f aca="false">IFERROR(INDEX($M$6:$M$21,MATCH(2,$O$6:$O$21,0)),"")</f>
        <v>17.26</v>
      </c>
      <c r="K9" s="1" t="str">
        <f aca="false">Aux!B9</f>
        <v>[Agropecuária] AGR-04 – Estabelecimentos agropecuários que receberam assistência técnica (%)</v>
      </c>
      <c r="L9" s="1" t="str">
        <f aca="false">'Indicadores (F-W)'!Y9</f>
        <v/>
      </c>
      <c r="M9" s="1" t="str">
        <f aca="false">IF('Indicadores (F-W)'!X9="","",'Indicadores (F-W)'!X9)</f>
        <v/>
      </c>
      <c r="N9" s="1" t="str">
        <f aca="false">IF(L9="Força",COUNTIF(L$6:L9,"Força"),"")</f>
        <v/>
      </c>
      <c r="O9" s="1" t="str">
        <f aca="false">IF(L9="Fraqueza",COUNTIF(L$6:L9,"Fraqueza"),"")</f>
        <v/>
      </c>
      <c r="Q9" s="1" t="str">
        <f aca="false">Aux!I9</f>
        <v>[Indústria] OP-04 – Agroindustrialização e verticalização (frigoríficos, laticínios, sucroenergético)</v>
      </c>
      <c r="R9" s="1" t="str">
        <f aca="false">Aux!J9</f>
        <v>Oportunidade</v>
      </c>
      <c r="S9" s="1" t="n">
        <f aca="false">IF('Fatores Externos (O-A)'!K9="","",'Fatores Externos (O-A)'!K9)</f>
        <v>2</v>
      </c>
      <c r="T9" s="1" t="n">
        <f aca="false">IF(AND(R9="Oportunidade",ISNUMBER(S9)),IF(S9&gt;=Parâmetros!$B$5,1,0),0)</f>
        <v>1</v>
      </c>
      <c r="U9" s="1" t="n">
        <f aca="false">IF(T9=1,SUM(T$6:T9),"")</f>
        <v>3</v>
      </c>
      <c r="V9" s="1" t="n">
        <f aca="false">IF(AND(R9="Ameaça",ISNUMBER(S9)),IF(S9&gt;=Parâmetros!$B$5,1,0),0)</f>
        <v>0</v>
      </c>
      <c r="W9" s="1" t="str">
        <f aca="false">IF(V9=1,SUM(V$6:V9),"")</f>
        <v/>
      </c>
    </row>
    <row r="10" customFormat="false" ht="30" hidden="false" customHeight="true" outlineLevel="0" collapsed="false">
      <c r="A10" s="15"/>
      <c r="B10" s="16" t="n">
        <f aca="false">IF(C10="","",3)</f>
        <v>3</v>
      </c>
      <c r="C10" s="17" t="str">
        <f aca="false">IFERROR(INDEX($K$6:$K$21,MATCH(3,$N$6:$N$21,0)),"")</f>
        <v>[Comércio e Serviços] CS-02 – Variação do emprego formal em comércio e serviços em 5 anos (%)</v>
      </c>
      <c r="D10" s="18" t="n">
        <f aca="false">IFERROR(INDEX($M$6:$M$21,MATCH(3,$N$6:$N$21,0)),"")</f>
        <v>41.4</v>
      </c>
      <c r="F10" s="19" t="n">
        <f aca="false">IF(G10="","",3)</f>
        <v>3</v>
      </c>
      <c r="G10" s="20" t="str">
        <f aca="false">IFERROR(INDEX($K$6:$K$21,MATCH(3,$O$6:$O$21,0)),"")</f>
        <v>[Estrutura Econômica e Fiscal] EST-01 – PIB per capita (R$)</v>
      </c>
      <c r="H10" s="21" t="n">
        <f aca="false">IFERROR(INDEX($M$6:$M$21,MATCH(3,$O$6:$O$21,0)),"")</f>
        <v>48349.24</v>
      </c>
      <c r="K10" s="1" t="str">
        <f aca="false">Aux!B10</f>
        <v>[Agropecuária] AGR-05 – Diversificação agrícola (1 − HHI do valor da produção das lavouras) (índice 0–1)</v>
      </c>
      <c r="L10" s="1" t="str">
        <f aca="false">'Indicadores (F-W)'!Y10</f>
        <v/>
      </c>
      <c r="M10" s="1" t="str">
        <f aca="false">IF('Indicadores (F-W)'!X10="","",'Indicadores (F-W)'!X10)</f>
        <v/>
      </c>
      <c r="N10" s="1" t="str">
        <f aca="false">IF(L10="Força",COUNTIF(L$6:L10,"Força"),"")</f>
        <v/>
      </c>
      <c r="O10" s="1" t="str">
        <f aca="false">IF(L10="Fraqueza",COUNTIF(L$6:L10,"Fraqueza"),"")</f>
        <v/>
      </c>
      <c r="Q10" s="1" t="str">
        <f aca="false">Aux!I10</f>
        <v>[Estrutura Econômica e Fiscal] OP-05 – Corredores logísticos (rodovias federais, ferrovia, hidrovia do Paraguai)</v>
      </c>
      <c r="R10" s="1" t="str">
        <f aca="false">Aux!J10</f>
        <v>Oportunidade</v>
      </c>
      <c r="S10" s="1" t="n">
        <f aca="false">IF('Fatores Externos (O-A)'!K10="","",'Fatores Externos (O-A)'!K10)</f>
        <v>2</v>
      </c>
      <c r="T10" s="1" t="n">
        <f aca="false">IF(AND(R10="Oportunidade",ISNUMBER(S10)),IF(S10&gt;=Parâmetros!$B$5,1,0),0)</f>
        <v>1</v>
      </c>
      <c r="U10" s="1" t="n">
        <f aca="false">IF(T10=1,SUM(T$6:T10),"")</f>
        <v>4</v>
      </c>
      <c r="V10" s="1" t="n">
        <f aca="false">IF(AND(R10="Ameaça",ISNUMBER(S10)),IF(S10&gt;=Parâmetros!$B$5,1,0),0)</f>
        <v>0</v>
      </c>
      <c r="W10" s="1" t="str">
        <f aca="false">IF(V10=1,SUM(V$6:V10),"")</f>
        <v/>
      </c>
    </row>
    <row r="11" customFormat="false" ht="30" hidden="false" customHeight="true" outlineLevel="0" collapsed="false">
      <c r="A11" s="15"/>
      <c r="B11" s="16" t="str">
        <f aca="false">IF(C11="","",4)</f>
        <v/>
      </c>
      <c r="C11" s="17" t="str">
        <f aca="false">IFERROR(INDEX($K$6:$K$21,MATCH(4,$N$6:$N$21,0)),"")</f>
        <v/>
      </c>
      <c r="D11" s="18" t="str">
        <f aca="false">IFERROR(INDEX($M$6:$M$21,MATCH(4,$N$6:$N$21,0)),"")</f>
        <v/>
      </c>
      <c r="F11" s="19" t="n">
        <f aca="false">IF(G11="","",4)</f>
        <v>4</v>
      </c>
      <c r="G11" s="20" t="str">
        <f aca="false">IFERROR(INDEX($K$6:$K$21,MATCH(4,$O$6:$O$21,0)),"")</f>
        <v>[Estrutura Econômica e Fiscal] EST-02 – Participação da administração pública no VAB total (%)</v>
      </c>
      <c r="H11" s="21" t="n">
        <f aca="false">IFERROR(INDEX($M$6:$M$21,MATCH(4,$O$6:$O$21,0)),"")</f>
        <v>16.77</v>
      </c>
      <c r="K11" s="1" t="str">
        <f aca="false">Aux!B11</f>
        <v>[Indústria] IND-01 – Quociente locacional do VAB industrial (base MT) (índice)</v>
      </c>
      <c r="L11" s="1" t="str">
        <f aca="false">'Indicadores (F-W)'!Y11</f>
        <v>Neutro</v>
      </c>
      <c r="M11" s="87" t="n">
        <f aca="false">IF('Indicadores (F-W)'!X11="","",'Indicadores (F-W)'!X11)</f>
        <v>1.1671</v>
      </c>
      <c r="N11" s="1" t="str">
        <f aca="false">IF(L11="Força",COUNTIF(L$6:L11,"Força"),"")</f>
        <v/>
      </c>
      <c r="O11" s="1" t="str">
        <f aca="false">IF(L11="Fraqueza",COUNTIF(L$6:L11,"Fraqueza"),"")</f>
        <v/>
      </c>
      <c r="Q11" s="1" t="str">
        <f aca="false">Aux!I11</f>
        <v>[Estrutura Econômica e Fiscal] OP-06 – Instrumentos de fomento e financiamento (FCO, crédito rural, PSA, mercado de carbono)</v>
      </c>
      <c r="R11" s="1" t="str">
        <f aca="false">Aux!J11</f>
        <v>Oportunidade</v>
      </c>
      <c r="S11" s="1" t="n">
        <f aca="false">IF('Fatores Externos (O-A)'!K11="","",'Fatores Externos (O-A)'!K11)</f>
        <v>2</v>
      </c>
      <c r="T11" s="1" t="n">
        <f aca="false">IF(AND(R11="Oportunidade",ISNUMBER(S11)),IF(S11&gt;=Parâmetros!$B$5,1,0),0)</f>
        <v>1</v>
      </c>
      <c r="U11" s="1" t="n">
        <f aca="false">IF(T11=1,SUM(T$6:T11),"")</f>
        <v>5</v>
      </c>
      <c r="V11" s="1" t="n">
        <f aca="false">IF(AND(R11="Ameaça",ISNUMBER(S11)),IF(S11&gt;=Parâmetros!$B$5,1,0),0)</f>
        <v>0</v>
      </c>
      <c r="W11" s="1" t="str">
        <f aca="false">IF(V11=1,SUM(V$6:V11),"")</f>
        <v/>
      </c>
    </row>
    <row r="12" customFormat="false" ht="30" hidden="false" customHeight="true" outlineLevel="0" collapsed="false">
      <c r="A12" s="15"/>
      <c r="B12" s="16" t="str">
        <f aca="false">IF(C12="","",5)</f>
        <v/>
      </c>
      <c r="C12" s="17" t="str">
        <f aca="false">IFERROR(INDEX($K$6:$K$21,MATCH(5,$N$6:$N$21,0)),"")</f>
        <v/>
      </c>
      <c r="D12" s="18" t="str">
        <f aca="false">IFERROR(INDEX($M$6:$M$21,MATCH(5,$N$6:$N$21,0)),"")</f>
        <v/>
      </c>
      <c r="F12" s="19" t="n">
        <f aca="false">IF(G12="","",5)</f>
        <v>5</v>
      </c>
      <c r="G12" s="20" t="str">
        <f aca="false">IFERROR(INDEX($K$6:$K$21,MATCH(5,$O$6:$O$21,0)),"")</f>
        <v>[Estrutura Econômica e Fiscal] EST-03 – Vínculos formais por 100 habitantes (vínculos/100 hab.)</v>
      </c>
      <c r="H12" s="21" t="n">
        <f aca="false">IFERROR(INDEX($M$6:$M$21,MATCH(5,$O$6:$O$21,0)),"")</f>
        <v>17.31</v>
      </c>
      <c r="K12" s="1" t="str">
        <f aca="false">Aux!B12</f>
        <v>[Indústria] IND-02 – Variação do emprego formal na indústria em 5 anos (%)</v>
      </c>
      <c r="L12" s="1" t="str">
        <f aca="false">'Indicadores (F-W)'!Y12</f>
        <v>Força</v>
      </c>
      <c r="M12" s="88" t="n">
        <f aca="false">IF('Indicadores (F-W)'!X12="","",'Indicadores (F-W)'!X12)</f>
        <v>107.6</v>
      </c>
      <c r="N12" s="1" t="n">
        <f aca="false">IF(L12="Força",COUNTIF(L$6:L12,"Força"),"")</f>
        <v>2</v>
      </c>
      <c r="O12" s="1" t="str">
        <f aca="false">IF(L12="Fraqueza",COUNTIF(L$6:L12,"Fraqueza"),"")</f>
        <v/>
      </c>
      <c r="Q12" s="1" t="str">
        <f aca="false">Aux!I12</f>
        <v>[Agropecuária] AM-01 – Eventos climáticos extremos: secas prolongadas e incêndios no Pantanal</v>
      </c>
      <c r="R12" s="1" t="str">
        <f aca="false">Aux!J12</f>
        <v>Ameaça</v>
      </c>
      <c r="S12" s="1" t="n">
        <f aca="false">IF('Fatores Externos (O-A)'!K12="","",'Fatores Externos (O-A)'!K12)</f>
        <v>1</v>
      </c>
      <c r="T12" s="1" t="n">
        <f aca="false">IF(AND(R12="Oportunidade",ISNUMBER(S12)),IF(S12&gt;=Parâmetros!$B$5,1,0),0)</f>
        <v>0</v>
      </c>
      <c r="U12" s="1" t="str">
        <f aca="false">IF(T12=1,SUM(T$6:T12),"")</f>
        <v/>
      </c>
      <c r="V12" s="1" t="n">
        <f aca="false">IF(AND(R12="Ameaça",ISNUMBER(S12)),IF(S12&gt;=Parâmetros!$B$5,1,0),0)</f>
        <v>0</v>
      </c>
      <c r="W12" s="1" t="str">
        <f aca="false">IF(V12=1,SUM(V$6:V12),"")</f>
        <v/>
      </c>
    </row>
    <row r="13" customFormat="false" ht="30" hidden="false" customHeight="true" outlineLevel="0" collapsed="false">
      <c r="A13" s="15"/>
      <c r="B13" s="16" t="str">
        <f aca="false">IF(C13="","",6)</f>
        <v/>
      </c>
      <c r="C13" s="17" t="str">
        <f aca="false">IFERROR(INDEX($K$6:$K$21,MATCH(6,$N$6:$N$21,0)),"")</f>
        <v/>
      </c>
      <c r="D13" s="18" t="str">
        <f aca="false">IFERROR(INDEX($M$6:$M$21,MATCH(6,$N$6:$N$21,0)),"")</f>
        <v/>
      </c>
      <c r="F13" s="19" t="n">
        <f aca="false">IF(G13="","",6)</f>
        <v>6</v>
      </c>
      <c r="G13" s="20" t="str">
        <f aca="false">IFERROR(INDEX($K$6:$K$21,MATCH(6,$O$6:$O$21,0)),"")</f>
        <v>[Estrutura Econômica e Fiscal] EST-04 – Concentração setorial do emprego formal (HHI por seção CNAE) (índice 0–1)</v>
      </c>
      <c r="H13" s="21" t="n">
        <f aca="false">IFERROR(INDEX($M$6:$M$21,MATCH(6,$O$6:$O$21,0)),"")</f>
        <v>0.2275</v>
      </c>
      <c r="K13" s="1" t="str">
        <f aca="false">Aux!B13</f>
        <v>[Indústria] IND-03 – Remuneração média do emprego formal industrial (R$)</v>
      </c>
      <c r="L13" s="1" t="str">
        <f aca="false">'Indicadores (F-W)'!Y13</f>
        <v>Neutro</v>
      </c>
      <c r="M13" s="88" t="n">
        <f aca="false">IF('Indicadores (F-W)'!X13="","",'Indicadores (F-W)'!X13)</f>
        <v>3141.45</v>
      </c>
      <c r="N13" s="1" t="str">
        <f aca="false">IF(L13="Força",COUNTIF(L$6:L13,"Força"),"")</f>
        <v/>
      </c>
      <c r="O13" s="1" t="str">
        <f aca="false">IF(L13="Fraqueza",COUNTIF(L$6:L13,"Fraqueza"),"")</f>
        <v/>
      </c>
      <c r="Q13" s="1" t="str">
        <f aca="false">Aux!I13</f>
        <v>[Agropecuária] AM-02 – Volatilidade de preços de commodities (boi gordo, soja, milho)</v>
      </c>
      <c r="R13" s="1" t="str">
        <f aca="false">Aux!J13</f>
        <v>Ameaça</v>
      </c>
      <c r="S13" s="1" t="n">
        <f aca="false">IF('Fatores Externos (O-A)'!K13="","",'Fatores Externos (O-A)'!K13)</f>
        <v>2</v>
      </c>
      <c r="T13" s="1" t="n">
        <f aca="false">IF(AND(R13="Oportunidade",ISNUMBER(S13)),IF(S13&gt;=Parâmetros!$B$5,1,0),0)</f>
        <v>0</v>
      </c>
      <c r="U13" s="1" t="str">
        <f aca="false">IF(T13=1,SUM(T$6:T13),"")</f>
        <v/>
      </c>
      <c r="V13" s="1" t="n">
        <f aca="false">IF(AND(R13="Ameaça",ISNUMBER(S13)),IF(S13&gt;=Parâmetros!$B$5,1,0),0)</f>
        <v>1</v>
      </c>
      <c r="W13" s="1" t="n">
        <f aca="false">IF(V13=1,SUM(V$6:V13),"")</f>
        <v>1</v>
      </c>
    </row>
    <row r="14" customFormat="false" ht="30" hidden="false" customHeight="true" outlineLevel="0" collapsed="false">
      <c r="A14" s="15"/>
      <c r="B14" s="16" t="str">
        <f aca="false">IF(C14="","",7)</f>
        <v/>
      </c>
      <c r="C14" s="17" t="str">
        <f aca="false">IFERROR(INDEX($K$6:$K$21,MATCH(7,$N$6:$N$21,0)),"")</f>
        <v/>
      </c>
      <c r="D14" s="18" t="str">
        <f aca="false">IFERROR(INDEX($M$6:$M$21,MATCH(7,$N$6:$N$21,0)),"")</f>
        <v/>
      </c>
      <c r="F14" s="19" t="n">
        <f aca="false">IF(G14="","",7)</f>
        <v>7</v>
      </c>
      <c r="G14" s="20" t="str">
        <f aca="false">IFERROR(INDEX($K$6:$K$21,MATCH(7,$O$6:$O$21,0)),"")</f>
        <v>[Estrutura Econômica e Fiscal] EST-05 – Receitas próprias / receita corrente (%)</v>
      </c>
      <c r="H14" s="21" t="n">
        <f aca="false">IFERROR(INDEX($M$6:$M$21,MATCH(7,$O$6:$O$21,0)),"")</f>
        <v>11.71</v>
      </c>
      <c r="K14" s="1" t="str">
        <f aca="false">Aux!B14</f>
        <v>[Comércio e Serviços] CS-01 – Quociente locacional do VAB de serviços, exceto adm. pública (base MT) (índice)</v>
      </c>
      <c r="L14" s="1" t="str">
        <f aca="false">'Indicadores (F-W)'!Y14</f>
        <v>Fraqueza</v>
      </c>
      <c r="M14" s="87" t="n">
        <f aca="false">IF('Indicadores (F-W)'!X14="","",'Indicadores (F-W)'!X14)</f>
        <v>0.4388</v>
      </c>
      <c r="N14" s="1" t="str">
        <f aca="false">IF(L14="Força",COUNTIF(L$6:L14,"Força"),"")</f>
        <v/>
      </c>
      <c r="O14" s="1" t="n">
        <f aca="false">IF(L14="Fraqueza",COUNTIF(L$6:L14,"Fraqueza"),"")</f>
        <v>1</v>
      </c>
      <c r="Q14" s="1" t="str">
        <f aca="false">Aux!I14</f>
        <v>[Agropecuária] AM-03 – Exigências ambientais de mercados importadores e barreiras ligadas a desmatamento (ex.: EUDR)</v>
      </c>
      <c r="R14" s="1" t="str">
        <f aca="false">Aux!J14</f>
        <v>Ameaça</v>
      </c>
      <c r="S14" s="1" t="n">
        <f aca="false">IF('Fatores Externos (O-A)'!K14="","",'Fatores Externos (O-A)'!K14)</f>
        <v>2</v>
      </c>
      <c r="T14" s="1" t="n">
        <f aca="false">IF(AND(R14="Oportunidade",ISNUMBER(S14)),IF(S14&gt;=Parâmetros!$B$5,1,0),0)</f>
        <v>0</v>
      </c>
      <c r="U14" s="1" t="str">
        <f aca="false">IF(T14=1,SUM(T$6:T14),"")</f>
        <v/>
      </c>
      <c r="V14" s="1" t="n">
        <f aca="false">IF(AND(R14="Ameaça",ISNUMBER(S14)),IF(S14&gt;=Parâmetros!$B$5,1,0),0)</f>
        <v>1</v>
      </c>
      <c r="W14" s="1" t="n">
        <f aca="false">IF(V14=1,SUM(V$6:V14),"")</f>
        <v>2</v>
      </c>
    </row>
    <row r="15" customFormat="false" ht="30" hidden="false" customHeight="true" outlineLevel="0" collapsed="false">
      <c r="A15" s="15"/>
      <c r="B15" s="16" t="str">
        <f aca="false">IF(C15="","",8)</f>
        <v/>
      </c>
      <c r="C15" s="17" t="str">
        <f aca="false">IFERROR(INDEX($K$6:$K$21,MATCH(8,$N$6:$N$21,0)),"")</f>
        <v/>
      </c>
      <c r="D15" s="18" t="str">
        <f aca="false">IFERROR(INDEX($M$6:$M$21,MATCH(8,$N$6:$N$21,0)),"")</f>
        <v/>
      </c>
      <c r="F15" s="19" t="str">
        <f aca="false">IF(G15="","",8)</f>
        <v/>
      </c>
      <c r="G15" s="20" t="str">
        <f aca="false">IFERROR(INDEX($K$6:$K$21,MATCH(8,$O$6:$O$21,0)),"")</f>
        <v/>
      </c>
      <c r="H15" s="21" t="str">
        <f aca="false">IFERROR(INDEX($M$6:$M$21,MATCH(8,$O$6:$O$21,0)),"")</f>
        <v/>
      </c>
      <c r="K15" s="1" t="str">
        <f aca="false">Aux!B15</f>
        <v>[Comércio e Serviços] CS-02 – Variação do emprego formal em comércio e serviços em 5 anos (%)</v>
      </c>
      <c r="L15" s="1" t="str">
        <f aca="false">'Indicadores (F-W)'!Y15</f>
        <v>Força</v>
      </c>
      <c r="M15" s="88" t="n">
        <f aca="false">IF('Indicadores (F-W)'!X15="","",'Indicadores (F-W)'!X15)</f>
        <v>41.4</v>
      </c>
      <c r="N15" s="1" t="n">
        <f aca="false">IF(L15="Força",COUNTIF(L$6:L15,"Força"),"")</f>
        <v>3</v>
      </c>
      <c r="O15" s="1" t="str">
        <f aca="false">IF(L15="Fraqueza",COUNTIF(L$6:L15,"Fraqueza"),"")</f>
        <v/>
      </c>
      <c r="Q15" s="1" t="str">
        <f aca="false">Aux!I15</f>
        <v>[Estrutura Econômica e Fiscal] AM-04 – Transição da Reforma Tributária (IBS/CBS) e efeitos sobre a repartição de receitas municipais</v>
      </c>
      <c r="R15" s="1" t="str">
        <f aca="false">Aux!J15</f>
        <v>Ameaça</v>
      </c>
      <c r="S15" s="1" t="n">
        <f aca="false">IF('Fatores Externos (O-A)'!K15="","",'Fatores Externos (O-A)'!K15)</f>
        <v>2</v>
      </c>
      <c r="T15" s="1" t="n">
        <f aca="false">IF(AND(R15="Oportunidade",ISNUMBER(S15)),IF(S15&gt;=Parâmetros!$B$5,1,0),0)</f>
        <v>0</v>
      </c>
      <c r="U15" s="1" t="str">
        <f aca="false">IF(T15=1,SUM(T$6:T15),"")</f>
        <v/>
      </c>
      <c r="V15" s="1" t="n">
        <f aca="false">IF(AND(R15="Ameaça",ISNUMBER(S15)),IF(S15&gt;=Parâmetros!$B$5,1,0),0)</f>
        <v>1</v>
      </c>
      <c r="W15" s="1" t="n">
        <f aca="false">IF(V15=1,SUM(V$6:V15),"")</f>
        <v>3</v>
      </c>
    </row>
    <row r="16" customFormat="false" ht="30" hidden="false" customHeight="true" outlineLevel="0" collapsed="false">
      <c r="A16" s="15"/>
      <c r="B16" s="16" t="str">
        <f aca="false">IF(C16="","",9)</f>
        <v/>
      </c>
      <c r="C16" s="17" t="str">
        <f aca="false">IFERROR(INDEX($K$6:$K$21,MATCH(9,$N$6:$N$21,0)),"")</f>
        <v/>
      </c>
      <c r="D16" s="18" t="str">
        <f aca="false">IFERROR(INDEX($M$6:$M$21,MATCH(9,$N$6:$N$21,0)),"")</f>
        <v/>
      </c>
      <c r="F16" s="19" t="str">
        <f aca="false">IF(G16="","",9)</f>
        <v/>
      </c>
      <c r="G16" s="20" t="str">
        <f aca="false">IFERROR(INDEX($K$6:$K$21,MATCH(9,$O$6:$O$21,0)),"")</f>
        <v/>
      </c>
      <c r="H16" s="21" t="str">
        <f aca="false">IFERROR(INDEX($M$6:$M$21,MATCH(9,$O$6:$O$21,0)),"")</f>
        <v/>
      </c>
      <c r="K16" s="1" t="str">
        <f aca="false">Aux!B16</f>
        <v>[Comércio e Serviços] CS-03 – Empresas e outras organizações ativas por mil habitantes (un./mil hab.)</v>
      </c>
      <c r="L16" s="1" t="str">
        <f aca="false">'Indicadores (F-W)'!Y16</f>
        <v>Fraqueza</v>
      </c>
      <c r="M16" s="88" t="n">
        <f aca="false">IF('Indicadores (F-W)'!X16="","",'Indicadores (F-W)'!X16)</f>
        <v>17.26</v>
      </c>
      <c r="N16" s="1" t="str">
        <f aca="false">IF(L16="Força",COUNTIF(L$6:L16,"Força"),"")</f>
        <v/>
      </c>
      <c r="O16" s="1" t="n">
        <f aca="false">IF(L16="Fraqueza",COUNTIF(L$6:L16,"Fraqueza"),"")</f>
        <v>2</v>
      </c>
      <c r="Q16" s="1" t="str">
        <f aca="false">Aux!I16</f>
        <v>[Comércio e Serviços] AM-05 – Polarização regional por centros maiores (evasão de consumo, serviços e mão de obra)</v>
      </c>
      <c r="R16" s="1" t="str">
        <f aca="false">Aux!J16</f>
        <v>Ameaça</v>
      </c>
      <c r="S16" s="1" t="n">
        <f aca="false">IF('Fatores Externos (O-A)'!K16="","",'Fatores Externos (O-A)'!K16)</f>
        <v>3</v>
      </c>
      <c r="T16" s="1" t="n">
        <f aca="false">IF(AND(R16="Oportunidade",ISNUMBER(S16)),IF(S16&gt;=Parâmetros!$B$5,1,0),0)</f>
        <v>0</v>
      </c>
      <c r="U16" s="1" t="str">
        <f aca="false">IF(T16=1,SUM(T$6:T16),"")</f>
        <v/>
      </c>
      <c r="V16" s="1" t="n">
        <f aca="false">IF(AND(R16="Ameaça",ISNUMBER(S16)),IF(S16&gt;=Parâmetros!$B$5,1,0),0)</f>
        <v>1</v>
      </c>
      <c r="W16" s="1" t="n">
        <f aca="false">IF(V16=1,SUM(V$6:V16),"")</f>
        <v>4</v>
      </c>
    </row>
    <row r="17" customFormat="false" ht="30" hidden="false" customHeight="true" outlineLevel="0" collapsed="false">
      <c r="A17" s="15"/>
      <c r="B17" s="16" t="str">
        <f aca="false">IF(C17="","",10)</f>
        <v/>
      </c>
      <c r="C17" s="17" t="str">
        <f aca="false">IFERROR(INDEX($K$6:$K$21,MATCH(10,$N$6:$N$21,0)),"")</f>
        <v/>
      </c>
      <c r="D17" s="18" t="str">
        <f aca="false">IFERROR(INDEX($M$6:$M$21,MATCH(10,$N$6:$N$21,0)),"")</f>
        <v/>
      </c>
      <c r="F17" s="19" t="str">
        <f aca="false">IF(G17="","",10)</f>
        <v/>
      </c>
      <c r="G17" s="20" t="str">
        <f aca="false">IFERROR(INDEX($K$6:$K$21,MATCH(10,$O$6:$O$21,0)),"")</f>
        <v/>
      </c>
      <c r="H17" s="21" t="str">
        <f aca="false">IFERROR(INDEX($M$6:$M$21,MATCH(10,$O$6:$O$21,0)),"")</f>
        <v/>
      </c>
      <c r="K17" s="1" t="str">
        <f aca="false">Aux!B17</f>
        <v>[Estrutura Econômica e Fiscal] EST-01 – PIB per capita (R$)</v>
      </c>
      <c r="L17" s="1" t="str">
        <f aca="false">'Indicadores (F-W)'!Y17</f>
        <v>Fraqueza</v>
      </c>
      <c r="M17" s="89" t="n">
        <f aca="false">IF('Indicadores (F-W)'!X17="","",'Indicadores (F-W)'!X17)</f>
        <v>48349.24</v>
      </c>
      <c r="N17" s="1" t="str">
        <f aca="false">IF(L17="Força",COUNTIF(L$6:L17,"Força"),"")</f>
        <v/>
      </c>
      <c r="O17" s="1" t="n">
        <f aca="false">IF(L17="Fraqueza",COUNTIF(L$6:L17,"Fraqueza"),"")</f>
        <v>3</v>
      </c>
    </row>
    <row r="18" customFormat="false" ht="30" hidden="false" customHeight="true" outlineLevel="0" collapsed="false">
      <c r="A18" s="15"/>
      <c r="B18" s="16" t="str">
        <f aca="false">IF(C18="","",11)</f>
        <v/>
      </c>
      <c r="C18" s="17" t="str">
        <f aca="false">IFERROR(INDEX($K$6:$K$21,MATCH(11,$N$6:$N$21,0)),"")</f>
        <v/>
      </c>
      <c r="D18" s="18" t="str">
        <f aca="false">IFERROR(INDEX($M$6:$M$21,MATCH(11,$N$6:$N$21,0)),"")</f>
        <v/>
      </c>
      <c r="F18" s="19" t="str">
        <f aca="false">IF(G18="","",11)</f>
        <v/>
      </c>
      <c r="G18" s="20" t="str">
        <f aca="false">IFERROR(INDEX($K$6:$K$21,MATCH(11,$O$6:$O$21,0)),"")</f>
        <v/>
      </c>
      <c r="H18" s="21" t="str">
        <f aca="false">IFERROR(INDEX($M$6:$M$21,MATCH(11,$O$6:$O$21,0)),"")</f>
        <v/>
      </c>
      <c r="K18" s="1" t="str">
        <f aca="false">Aux!B18</f>
        <v>[Estrutura Econômica e Fiscal] EST-02 – Participação da administração pública no VAB total (%)</v>
      </c>
      <c r="L18" s="1" t="str">
        <f aca="false">'Indicadores (F-W)'!Y18</f>
        <v>Fraqueza</v>
      </c>
      <c r="M18" s="90" t="n">
        <f aca="false">IF('Indicadores (F-W)'!X18="","",'Indicadores (F-W)'!X18)</f>
        <v>16.77</v>
      </c>
      <c r="N18" s="1" t="str">
        <f aca="false">IF(L18="Força",COUNTIF(L$6:L18,"Força"),"")</f>
        <v/>
      </c>
      <c r="O18" s="1" t="n">
        <f aca="false">IF(L18="Fraqueza",COUNTIF(L$6:L18,"Fraqueza"),"")</f>
        <v>4</v>
      </c>
    </row>
    <row r="19" customFormat="false" ht="30" hidden="false" customHeight="true" outlineLevel="0" collapsed="false">
      <c r="A19" s="15"/>
      <c r="B19" s="16" t="str">
        <f aca="false">IF(C19="","",12)</f>
        <v/>
      </c>
      <c r="C19" s="17" t="str">
        <f aca="false">IFERROR(INDEX($K$6:$K$21,MATCH(12,$N$6:$N$21,0)),"")</f>
        <v/>
      </c>
      <c r="D19" s="18" t="str">
        <f aca="false">IFERROR(INDEX($M$6:$M$21,MATCH(12,$N$6:$N$21,0)),"")</f>
        <v/>
      </c>
      <c r="F19" s="19" t="str">
        <f aca="false">IF(G19="","",12)</f>
        <v/>
      </c>
      <c r="G19" s="20" t="str">
        <f aca="false">IFERROR(INDEX($K$6:$K$21,MATCH(12,$O$6:$O$21,0)),"")</f>
        <v/>
      </c>
      <c r="H19" s="21" t="str">
        <f aca="false">IFERROR(INDEX($M$6:$M$21,MATCH(12,$O$6:$O$21,0)),"")</f>
        <v/>
      </c>
      <c r="K19" s="1" t="str">
        <f aca="false">Aux!B19</f>
        <v>[Estrutura Econômica e Fiscal] EST-03 – Vínculos formais por 100 habitantes (vínculos/100 hab.)</v>
      </c>
      <c r="L19" s="1" t="str">
        <f aca="false">'Indicadores (F-W)'!Y19</f>
        <v>Fraqueza</v>
      </c>
      <c r="M19" s="88" t="n">
        <f aca="false">IF('Indicadores (F-W)'!X19="","",'Indicadores (F-W)'!X19)</f>
        <v>17.31</v>
      </c>
      <c r="N19" s="1" t="str">
        <f aca="false">IF(L19="Força",COUNTIF(L$6:L19,"Força"),"")</f>
        <v/>
      </c>
      <c r="O19" s="1" t="n">
        <f aca="false">IF(L19="Fraqueza",COUNTIF(L$6:L19,"Fraqueza"),"")</f>
        <v>5</v>
      </c>
    </row>
    <row r="20" customFormat="false" ht="15" hidden="false" customHeight="true" outlineLevel="0" collapsed="false">
      <c r="C20" s="22" t="str">
        <f aca="false">IF(COUNTIF($L$6:$L$21,"Força")&gt;12,"+ "&amp;(COUNTIF($L$6:$L$21,"Força")-12)&amp;" item(ns) não exibido(s)","")</f>
        <v/>
      </c>
      <c r="G20" s="22" t="str">
        <f aca="false">IF(COUNTIF($L$6:$L$21,"Fraqueza")&gt;12,"+ "&amp;(COUNTIF($L$6:$L$21,"Fraqueza")-12)&amp;" item(ns) não exibido(s)","")</f>
        <v/>
      </c>
      <c r="K20" s="1" t="str">
        <f aca="false">Aux!B20</f>
        <v>[Estrutura Econômica e Fiscal] EST-04 – Concentração setorial do emprego formal (HHI por seção CNAE) (índice 0–1)</v>
      </c>
      <c r="L20" s="1" t="str">
        <f aca="false">'Indicadores (F-W)'!Y20</f>
        <v>Fraqueza</v>
      </c>
      <c r="M20" s="93" t="n">
        <f aca="false">IF('Indicadores (F-W)'!X20="","",'Indicadores (F-W)'!X20)</f>
        <v>0.2275</v>
      </c>
      <c r="N20" s="1" t="str">
        <f aca="false">IF(L20="Força",COUNTIF(L$6:L20,"Força"),"")</f>
        <v/>
      </c>
      <c r="O20" s="1" t="n">
        <f aca="false">IF(L20="Fraqueza",COUNTIF(L$6:L20,"Fraqueza"),"")</f>
        <v>6</v>
      </c>
    </row>
    <row r="21" customFormat="false" ht="15" hidden="false" customHeight="true" outlineLevel="0" collapsed="false">
      <c r="K21" s="1" t="str">
        <f aca="false">Aux!B21</f>
        <v>[Estrutura Econômica e Fiscal] EST-05 – Receitas próprias / receita corrente (%)</v>
      </c>
      <c r="L21" s="1" t="str">
        <f aca="false">'Indicadores (F-W)'!Y21</f>
        <v>Fraqueza</v>
      </c>
      <c r="M21" s="88" t="n">
        <f aca="false">IF('Indicadores (F-W)'!X21="","",'Indicadores (F-W)'!X21)</f>
        <v>11.71</v>
      </c>
      <c r="N21" s="1" t="str">
        <f aca="false">IF(L21="Força",COUNTIF(L$6:L21,"Força"),"")</f>
        <v/>
      </c>
      <c r="O21" s="1" t="n">
        <f aca="false">IF(L21="Fraqueza",COUNTIF(L$6:L21,"Fraqueza"),"")</f>
        <v>7</v>
      </c>
    </row>
    <row r="22" customFormat="false" ht="15" hidden="false" customHeight="true" outlineLevel="0" collapsed="false">
      <c r="B22" s="23" t="str">
        <f aca="false">"OPORTUNIDADES (O) — "&amp;SUM($T$6:$T$16)&amp;" item(ns)"</f>
        <v>OPORTUNIDADES (O) — 5 item(ns)</v>
      </c>
      <c r="C22" s="23"/>
      <c r="D22" s="23"/>
      <c r="F22" s="24" t="str">
        <f aca="false">"AMEAÇAS (T) — "&amp;SUM($V$6:$V$16)&amp;" item(ns)"</f>
        <v>AMEAÇAS (T) — 4 item(ns)</v>
      </c>
      <c r="G22" s="24"/>
      <c r="H22" s="24"/>
    </row>
    <row r="23" customFormat="false" ht="15" hidden="false" customHeight="true" outlineLevel="0" collapsed="false">
      <c r="B23" s="25" t="s">
        <v>29</v>
      </c>
      <c r="C23" s="25" t="s">
        <v>30</v>
      </c>
      <c r="D23" s="25" t="s">
        <v>33</v>
      </c>
      <c r="F23" s="26" t="s">
        <v>29</v>
      </c>
      <c r="G23" s="26" t="s">
        <v>30</v>
      </c>
      <c r="H23" s="26" t="s">
        <v>33</v>
      </c>
    </row>
    <row r="24" customFormat="false" ht="30" hidden="false" customHeight="true" outlineLevel="0" collapsed="false">
      <c r="A24" s="15" t="s">
        <v>34</v>
      </c>
      <c r="B24" s="27" t="n">
        <f aca="false">IF(C24="","",1)</f>
        <v>1</v>
      </c>
      <c r="C24" s="28" t="str">
        <f aca="false">IFERROR(INDEX($Q$6:$Q$16,MATCH(1,$U$6:$U$16,0)),"")</f>
        <v>[Agropecuária] OP-01 – Demanda externa por carne bovina e proteína animal</v>
      </c>
      <c r="D24" s="29" t="n">
        <f aca="false">IFERROR(INDEX($S$6:$S$16,MATCH(1,$U$6:$U$16,0)),"")</f>
        <v>2</v>
      </c>
      <c r="F24" s="30" t="n">
        <f aca="false">IF(G24="","",1)</f>
        <v>1</v>
      </c>
      <c r="G24" s="31" t="str">
        <f aca="false">IFERROR(INDEX($Q$6:$Q$16,MATCH(1,$W$6:$W$16,0)),"")</f>
        <v>[Agropecuária] AM-02 – Volatilidade de preços de commodities (boi gordo, soja, milho)</v>
      </c>
      <c r="H24" s="32" t="n">
        <f aca="false">IFERROR(INDEX($S$6:$S$16,MATCH(1,$W$6:$W$16,0)),"")</f>
        <v>2</v>
      </c>
    </row>
    <row r="25" customFormat="false" ht="30" hidden="false" customHeight="true" outlineLevel="0" collapsed="false">
      <c r="A25" s="15"/>
      <c r="B25" s="27" t="n">
        <f aca="false">IF(C25="","",2)</f>
        <v>2</v>
      </c>
      <c r="C25" s="28" t="str">
        <f aca="false">IFERROR(INDEX($Q$6:$Q$16,MATCH(2,$U$6:$U$16,0)),"")</f>
        <v>[Comércio e Serviços] OP-03 – Expansão do turismo de natureza, pesca esportiva e ecoturismo</v>
      </c>
      <c r="D25" s="29" t="n">
        <f aca="false">IFERROR(INDEX($S$6:$S$16,MATCH(2,$U$6:$U$16,0)),"")</f>
        <v>2</v>
      </c>
      <c r="F25" s="30" t="n">
        <f aca="false">IF(G25="","",2)</f>
        <v>2</v>
      </c>
      <c r="G25" s="31" t="str">
        <f aca="false">IFERROR(INDEX($Q$6:$Q$16,MATCH(2,$W$6:$W$16,0)),"")</f>
        <v>[Agropecuária] AM-03 – Exigências ambientais de mercados importadores e barreiras ligadas a desmatamento (ex.: EUDR)</v>
      </c>
      <c r="H25" s="32" t="n">
        <f aca="false">IFERROR(INDEX($S$6:$S$16,MATCH(2,$W$6:$W$16,0)),"")</f>
        <v>2</v>
      </c>
    </row>
    <row r="26" customFormat="false" ht="30" hidden="false" customHeight="true" outlineLevel="0" collapsed="false">
      <c r="A26" s="15"/>
      <c r="B26" s="27" t="n">
        <f aca="false">IF(C26="","",3)</f>
        <v>3</v>
      </c>
      <c r="C26" s="28" t="str">
        <f aca="false">IFERROR(INDEX($Q$6:$Q$16,MATCH(3,$U$6:$U$16,0)),"")</f>
        <v>[Indústria] OP-04 – Agroindustrialização e verticalização (frigoríficos, laticínios, sucroenergético)</v>
      </c>
      <c r="D26" s="29" t="n">
        <f aca="false">IFERROR(INDEX($S$6:$S$16,MATCH(3,$U$6:$U$16,0)),"")</f>
        <v>2</v>
      </c>
      <c r="F26" s="30" t="n">
        <f aca="false">IF(G26="","",3)</f>
        <v>3</v>
      </c>
      <c r="G26" s="31" t="str">
        <f aca="false">IFERROR(INDEX($Q$6:$Q$16,MATCH(3,$W$6:$W$16,0)),"")</f>
        <v>[Estrutura Econômica e Fiscal] AM-04 – Transição da Reforma Tributária (IBS/CBS) e efeitos sobre a repartição de receitas municipais</v>
      </c>
      <c r="H26" s="32" t="n">
        <f aca="false">IFERROR(INDEX($S$6:$S$16,MATCH(3,$W$6:$W$16,0)),"")</f>
        <v>2</v>
      </c>
    </row>
    <row r="27" customFormat="false" ht="30" hidden="false" customHeight="true" outlineLevel="0" collapsed="false">
      <c r="A27" s="15"/>
      <c r="B27" s="27" t="n">
        <f aca="false">IF(C27="","",4)</f>
        <v>4</v>
      </c>
      <c r="C27" s="28" t="str">
        <f aca="false">IFERROR(INDEX($Q$6:$Q$16,MATCH(4,$U$6:$U$16,0)),"")</f>
        <v>[Estrutura Econômica e Fiscal] OP-05 – Corredores logísticos (rodovias federais, ferrovia, hidrovia do Paraguai)</v>
      </c>
      <c r="D27" s="29" t="n">
        <f aca="false">IFERROR(INDEX($S$6:$S$16,MATCH(4,$U$6:$U$16,0)),"")</f>
        <v>2</v>
      </c>
      <c r="F27" s="30" t="n">
        <f aca="false">IF(G27="","",4)</f>
        <v>4</v>
      </c>
      <c r="G27" s="31" t="str">
        <f aca="false">IFERROR(INDEX($Q$6:$Q$16,MATCH(4,$W$6:$W$16,0)),"")</f>
        <v>[Comércio e Serviços] AM-05 – Polarização regional por centros maiores (evasão de consumo, serviços e mão de obra)</v>
      </c>
      <c r="H27" s="32" t="n">
        <f aca="false">IFERROR(INDEX($S$6:$S$16,MATCH(4,$W$6:$W$16,0)),"")</f>
        <v>3</v>
      </c>
    </row>
    <row r="28" customFormat="false" ht="30" hidden="false" customHeight="true" outlineLevel="0" collapsed="false">
      <c r="A28" s="15"/>
      <c r="B28" s="27" t="n">
        <f aca="false">IF(C28="","",5)</f>
        <v>5</v>
      </c>
      <c r="C28" s="28" t="str">
        <f aca="false">IFERROR(INDEX($Q$6:$Q$16,MATCH(5,$U$6:$U$16,0)),"")</f>
        <v>[Estrutura Econômica e Fiscal] OP-06 – Instrumentos de fomento e financiamento (FCO, crédito rural, PSA, mercado de carbono)</v>
      </c>
      <c r="D28" s="29" t="n">
        <f aca="false">IFERROR(INDEX($S$6:$S$16,MATCH(5,$U$6:$U$16,0)),"")</f>
        <v>2</v>
      </c>
      <c r="F28" s="30" t="str">
        <f aca="false">IF(G28="","",5)</f>
        <v/>
      </c>
      <c r="G28" s="31" t="str">
        <f aca="false">IFERROR(INDEX($Q$6:$Q$16,MATCH(5,$W$6:$W$16,0)),"")</f>
        <v/>
      </c>
      <c r="H28" s="32" t="str">
        <f aca="false">IFERROR(INDEX($S$6:$S$16,MATCH(5,$W$6:$W$16,0)),"")</f>
        <v/>
      </c>
    </row>
    <row r="29" customFormat="false" ht="30" hidden="false" customHeight="true" outlineLevel="0" collapsed="false">
      <c r="A29" s="15"/>
      <c r="B29" s="27" t="str">
        <f aca="false">IF(C29="","",6)</f>
        <v/>
      </c>
      <c r="C29" s="28" t="str">
        <f aca="false">IFERROR(INDEX($Q$6:$Q$16,MATCH(6,$U$6:$U$16,0)),"")</f>
        <v/>
      </c>
      <c r="D29" s="29" t="str">
        <f aca="false">IFERROR(INDEX($S$6:$S$16,MATCH(6,$U$6:$U$16,0)),"")</f>
        <v/>
      </c>
      <c r="F29" s="30" t="str">
        <f aca="false">IF(G29="","",6)</f>
        <v/>
      </c>
      <c r="G29" s="31" t="str">
        <f aca="false">IFERROR(INDEX($Q$6:$Q$16,MATCH(6,$W$6:$W$16,0)),"")</f>
        <v/>
      </c>
      <c r="H29" s="32" t="str">
        <f aca="false">IFERROR(INDEX($S$6:$S$16,MATCH(6,$W$6:$W$16,0)),"")</f>
        <v/>
      </c>
    </row>
    <row r="30" customFormat="false" ht="30" hidden="false" customHeight="true" outlineLevel="0" collapsed="false">
      <c r="A30" s="15"/>
      <c r="B30" s="27" t="str">
        <f aca="false">IF(C30="","",7)</f>
        <v/>
      </c>
      <c r="C30" s="28" t="str">
        <f aca="false">IFERROR(INDEX($Q$6:$Q$16,MATCH(7,$U$6:$U$16,0)),"")</f>
        <v/>
      </c>
      <c r="D30" s="29" t="str">
        <f aca="false">IFERROR(INDEX($S$6:$S$16,MATCH(7,$U$6:$U$16,0)),"")</f>
        <v/>
      </c>
      <c r="F30" s="30" t="str">
        <f aca="false">IF(G30="","",7)</f>
        <v/>
      </c>
      <c r="G30" s="31" t="str">
        <f aca="false">IFERROR(INDEX($Q$6:$Q$16,MATCH(7,$W$6:$W$16,0)),"")</f>
        <v/>
      </c>
      <c r="H30" s="32" t="str">
        <f aca="false">IFERROR(INDEX($S$6:$S$16,MATCH(7,$W$6:$W$16,0)),"")</f>
        <v/>
      </c>
    </row>
    <row r="31" customFormat="false" ht="30" hidden="false" customHeight="true" outlineLevel="0" collapsed="false">
      <c r="A31" s="15"/>
      <c r="B31" s="27" t="str">
        <f aca="false">IF(C31="","",8)</f>
        <v/>
      </c>
      <c r="C31" s="28" t="str">
        <f aca="false">IFERROR(INDEX($Q$6:$Q$16,MATCH(8,$U$6:$U$16,0)),"")</f>
        <v/>
      </c>
      <c r="D31" s="29" t="str">
        <f aca="false">IFERROR(INDEX($S$6:$S$16,MATCH(8,$U$6:$U$16,0)),"")</f>
        <v/>
      </c>
      <c r="F31" s="30" t="str">
        <f aca="false">IF(G31="","",8)</f>
        <v/>
      </c>
      <c r="G31" s="31" t="str">
        <f aca="false">IFERROR(INDEX($Q$6:$Q$16,MATCH(8,$W$6:$W$16,0)),"")</f>
        <v/>
      </c>
      <c r="H31" s="32" t="str">
        <f aca="false">IFERROR(INDEX($S$6:$S$16,MATCH(8,$W$6:$W$16,0)),"")</f>
        <v/>
      </c>
    </row>
    <row r="32" customFormat="false" ht="30" hidden="false" customHeight="true" outlineLevel="0" collapsed="false">
      <c r="A32" s="15"/>
      <c r="B32" s="27" t="str">
        <f aca="false">IF(C32="","",9)</f>
        <v/>
      </c>
      <c r="C32" s="28" t="str">
        <f aca="false">IFERROR(INDEX($Q$6:$Q$16,MATCH(9,$U$6:$U$16,0)),"")</f>
        <v/>
      </c>
      <c r="D32" s="29" t="str">
        <f aca="false">IFERROR(INDEX($S$6:$S$16,MATCH(9,$U$6:$U$16,0)),"")</f>
        <v/>
      </c>
      <c r="F32" s="30" t="str">
        <f aca="false">IF(G32="","",9)</f>
        <v/>
      </c>
      <c r="G32" s="31" t="str">
        <f aca="false">IFERROR(INDEX($Q$6:$Q$16,MATCH(9,$W$6:$W$16,0)),"")</f>
        <v/>
      </c>
      <c r="H32" s="32" t="str">
        <f aca="false">IFERROR(INDEX($S$6:$S$16,MATCH(9,$W$6:$W$16,0)),"")</f>
        <v/>
      </c>
    </row>
    <row r="33" customFormat="false" ht="30" hidden="false" customHeight="true" outlineLevel="0" collapsed="false">
      <c r="A33" s="15"/>
      <c r="B33" s="27" t="str">
        <f aca="false">IF(C33="","",10)</f>
        <v/>
      </c>
      <c r="C33" s="28" t="str">
        <f aca="false">IFERROR(INDEX($Q$6:$Q$16,MATCH(10,$U$6:$U$16,0)),"")</f>
        <v/>
      </c>
      <c r="D33" s="29" t="str">
        <f aca="false">IFERROR(INDEX($S$6:$S$16,MATCH(10,$U$6:$U$16,0)),"")</f>
        <v/>
      </c>
      <c r="F33" s="30" t="str">
        <f aca="false">IF(G33="","",10)</f>
        <v/>
      </c>
      <c r="G33" s="31" t="str">
        <f aca="false">IFERROR(INDEX($Q$6:$Q$16,MATCH(10,$W$6:$W$16,0)),"")</f>
        <v/>
      </c>
      <c r="H33" s="32" t="str">
        <f aca="false">IFERROR(INDEX($S$6:$S$16,MATCH(10,$W$6:$W$16,0)),"")</f>
        <v/>
      </c>
    </row>
    <row r="34" customFormat="false" ht="30" hidden="false" customHeight="true" outlineLevel="0" collapsed="false">
      <c r="A34" s="15"/>
      <c r="B34" s="27" t="str">
        <f aca="false">IF(C34="","",11)</f>
        <v/>
      </c>
      <c r="C34" s="28" t="str">
        <f aca="false">IFERROR(INDEX($Q$6:$Q$16,MATCH(11,$U$6:$U$16,0)),"")</f>
        <v/>
      </c>
      <c r="D34" s="29" t="str">
        <f aca="false">IFERROR(INDEX($S$6:$S$16,MATCH(11,$U$6:$U$16,0)),"")</f>
        <v/>
      </c>
      <c r="F34" s="30" t="str">
        <f aca="false">IF(G34="","",11)</f>
        <v/>
      </c>
      <c r="G34" s="31" t="str">
        <f aca="false">IFERROR(INDEX($Q$6:$Q$16,MATCH(11,$W$6:$W$16,0)),"")</f>
        <v/>
      </c>
      <c r="H34" s="32" t="str">
        <f aca="false">IFERROR(INDEX($S$6:$S$16,MATCH(11,$W$6:$W$16,0)),"")</f>
        <v/>
      </c>
    </row>
    <row r="35" customFormat="false" ht="30" hidden="false" customHeight="true" outlineLevel="0" collapsed="false">
      <c r="A35" s="15"/>
      <c r="B35" s="27" t="str">
        <f aca="false">IF(C35="","",12)</f>
        <v/>
      </c>
      <c r="C35" s="28" t="str">
        <f aca="false">IFERROR(INDEX($Q$6:$Q$16,MATCH(12,$U$6:$U$16,0)),"")</f>
        <v/>
      </c>
      <c r="D35" s="29" t="str">
        <f aca="false">IFERROR(INDEX($S$6:$S$16,MATCH(12,$U$6:$U$16,0)),"")</f>
        <v/>
      </c>
      <c r="F35" s="30" t="str">
        <f aca="false">IF(G35="","",12)</f>
        <v/>
      </c>
      <c r="G35" s="31" t="str">
        <f aca="false">IFERROR(INDEX($Q$6:$Q$16,MATCH(12,$W$6:$W$16,0)),"")</f>
        <v/>
      </c>
      <c r="H35" s="32" t="str">
        <f aca="false">IFERROR(INDEX($S$6:$S$16,MATCH(12,$W$6:$W$16,0)),"")</f>
        <v/>
      </c>
    </row>
    <row r="36" customFormat="false" ht="15" hidden="false" customHeight="true" outlineLevel="0" collapsed="false">
      <c r="C36" s="22" t="str">
        <f aca="false">IF(SUM($T$6:$T$16)&gt;12,"+ "&amp;(SUM($T$6:$T$16)-12)&amp;" item(ns) não exibido(s)","")</f>
        <v/>
      </c>
      <c r="G36" s="22" t="str">
        <f aca="false">IF(SUM($V$6:$V$16)&gt;12,"+ "&amp;(SUM($V$6:$V$16)-12)&amp;" item(ns) não exibido(s)","")</f>
        <v/>
      </c>
    </row>
    <row r="38" customFormat="false" ht="15" hidden="false" customHeight="true" outlineLevel="0" collapsed="false">
      <c r="B38" s="33" t="s">
        <v>329</v>
      </c>
    </row>
  </sheetData>
  <mergeCells count="8">
    <mergeCell ref="B5:D5"/>
    <mergeCell ref="F5:H5"/>
    <mergeCell ref="B6:D6"/>
    <mergeCell ref="F6:H6"/>
    <mergeCell ref="A8:A19"/>
    <mergeCell ref="B22:D22"/>
    <mergeCell ref="F22:H22"/>
    <mergeCell ref="A24:A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W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"/>
    <col collapsed="false" customWidth="true" hidden="false" outlineLevel="0" max="3" min="3" style="1" width="55"/>
    <col collapsed="false" customWidth="true" hidden="false" outlineLevel="0" max="4" min="4" style="1" width="12"/>
    <col collapsed="false" customWidth="true" hidden="false" outlineLevel="0" max="5" min="5" style="1" width="2"/>
    <col collapsed="false" customWidth="true" hidden="false" outlineLevel="0" max="6" min="6" style="1" width="5"/>
    <col collapsed="false" customWidth="true" hidden="false" outlineLevel="0" max="7" min="7" style="1" width="55"/>
    <col collapsed="false" customWidth="true" hidden="false" outlineLevel="0" max="8" min="8" style="1" width="12"/>
    <col collapsed="false" customWidth="true" hidden="true" outlineLevel="0" max="23" min="11" style="1" width="13"/>
  </cols>
  <sheetData>
    <row r="1" customFormat="false" ht="17.25" hidden="false" customHeight="true" outlineLevel="0" collapsed="false">
      <c r="B1" s="91" t="s">
        <v>335</v>
      </c>
    </row>
    <row r="2" customFormat="false" ht="15" hidden="false" customHeight="true" outlineLevel="0" collapsed="false">
      <c r="B2" s="9" t="s">
        <v>328</v>
      </c>
    </row>
    <row r="3" customFormat="false" ht="15" hidden="false" customHeight="true" outlineLevel="0" collapsed="false">
      <c r="B3" s="92" t="str">
        <f aca="false">"Indicadores internos com dado: "&amp;(COUNTA(L6:L21)-COUNTBLANK(L6:L21))&amp;" de 16  |  Neutros: "&amp;COUNTIF(L6:L21,"Neutro")&amp;"  |  Fatores externos pontuados: "&amp;COUNT(S6:S16)&amp;" de 11"</f>
        <v>Indicadores internos com dado: 14 de 16  |  Neutros: 3  |  Fatores externos pontuados: 11 de 11</v>
      </c>
    </row>
    <row r="5" customFormat="false" ht="15" hidden="false" customHeight="true" outlineLevel="0" collapsed="false">
      <c r="B5" s="10" t="s">
        <v>27</v>
      </c>
      <c r="C5" s="10"/>
      <c r="D5" s="10"/>
      <c r="F5" s="10" t="s">
        <v>28</v>
      </c>
      <c r="G5" s="10"/>
      <c r="H5" s="10"/>
    </row>
    <row r="6" customFormat="false" ht="15" hidden="false" customHeight="true" outlineLevel="0" collapsed="false">
      <c r="B6" s="11" t="str">
        <f aca="false">"FORÇAS (S) — "&amp;COUNTIF($L$6:$L$21,"Força")&amp;" item(ns)"</f>
        <v>FORÇAS (S) — 2 item(ns)</v>
      </c>
      <c r="C6" s="11"/>
      <c r="D6" s="11"/>
      <c r="F6" s="12" t="str">
        <f aca="false">"FRAQUEZAS (W) — "&amp;COUNTIF($L$6:$L$21,"Fraqueza")&amp;" item(ns)"</f>
        <v>FRAQUEZAS (W) — 9 item(ns)</v>
      </c>
      <c r="G6" s="12"/>
      <c r="H6" s="12"/>
      <c r="K6" s="1" t="str">
        <f aca="false">Aux!B6</f>
        <v>[Agropecuária] AGR-01 – Quociente locacional do VAB agropecuário (base MT) (índice)</v>
      </c>
      <c r="L6" s="1" t="str">
        <f aca="false">'Indicadores (F-W)'!AA6</f>
        <v>Força</v>
      </c>
      <c r="M6" s="87" t="n">
        <f aca="false">IF('Indicadores (F-W)'!Z6="","",'Indicadores (F-W)'!Z6)</f>
        <v>1.364</v>
      </c>
      <c r="N6" s="1" t="n">
        <f aca="false">IF(L6="Força",COUNTIF(L$6:L6,"Força"),"")</f>
        <v>1</v>
      </c>
      <c r="O6" s="1" t="str">
        <f aca="false">IF(L6="Fraqueza",COUNTIF(L$6:L6,"Fraqueza"),"")</f>
        <v/>
      </c>
      <c r="Q6" s="1" t="str">
        <f aca="false">Aux!I6</f>
        <v>[Agropecuária] OP-01 – Demanda externa por carne bovina e proteína animal</v>
      </c>
      <c r="R6" s="1" t="str">
        <f aca="false">Aux!J6</f>
        <v>Oportunidade</v>
      </c>
      <c r="S6" s="1" t="n">
        <f aca="false">IF('Fatores Externos (O-A)'!L6="","",'Fatores Externos (O-A)'!L6)</f>
        <v>2</v>
      </c>
      <c r="T6" s="1" t="n">
        <f aca="false">IF(AND(R6="Oportunidade",ISNUMBER(S6)),IF(S6&gt;=Parâmetros!$B$5,1,0),0)</f>
        <v>1</v>
      </c>
      <c r="U6" s="1" t="n">
        <f aca="false">IF(T6=1,SUM(T$6:T6),"")</f>
        <v>1</v>
      </c>
      <c r="V6" s="1" t="n">
        <f aca="false">IF(AND(R6="Ameaça",ISNUMBER(S6)),IF(S6&gt;=Parâmetros!$B$5,1,0),0)</f>
        <v>0</v>
      </c>
      <c r="W6" s="1" t="str">
        <f aca="false">IF(V6=1,SUM(V$6:V6),"")</f>
        <v/>
      </c>
    </row>
    <row r="7" customFormat="false" ht="15" hidden="false" customHeight="true" outlineLevel="0" collapsed="false">
      <c r="B7" s="13" t="s">
        <v>29</v>
      </c>
      <c r="C7" s="13" t="s">
        <v>30</v>
      </c>
      <c r="D7" s="13" t="s">
        <v>31</v>
      </c>
      <c r="F7" s="14" t="s">
        <v>29</v>
      </c>
      <c r="G7" s="14" t="s">
        <v>30</v>
      </c>
      <c r="H7" s="14" t="s">
        <v>31</v>
      </c>
      <c r="K7" s="1" t="str">
        <f aca="false">Aux!B7</f>
        <v>[Agropecuária] AGR-02 – Valor da produção das lavouras por área colhida (R$/ha)</v>
      </c>
      <c r="L7" s="1" t="str">
        <f aca="false">'Indicadores (F-W)'!AA7</f>
        <v>Força</v>
      </c>
      <c r="M7" s="88" t="n">
        <f aca="false">IF('Indicadores (F-W)'!Z7="","",'Indicadores (F-W)'!Z7)</f>
        <v>9903.13</v>
      </c>
      <c r="N7" s="1" t="n">
        <f aca="false">IF(L7="Força",COUNTIF(L$6:L7,"Força"),"")</f>
        <v>2</v>
      </c>
      <c r="O7" s="1" t="str">
        <f aca="false">IF(L7="Fraqueza",COUNTIF(L$6:L7,"Fraqueza"),"")</f>
        <v/>
      </c>
      <c r="Q7" s="1" t="str">
        <f aca="false">Aux!I7</f>
        <v>[Agropecuária] OP-02 – Mercados para produtos diferenciados e certificados (carne sustentável/orgânica, origem Pantanal)</v>
      </c>
      <c r="R7" s="1" t="str">
        <f aca="false">Aux!J7</f>
        <v>Oportunidade</v>
      </c>
      <c r="S7" s="1" t="n">
        <f aca="false">IF('Fatores Externos (O-A)'!L7="","",'Fatores Externos (O-A)'!L7)</f>
        <v>1</v>
      </c>
      <c r="T7" s="1" t="n">
        <f aca="false">IF(AND(R7="Oportunidade",ISNUMBER(S7)),IF(S7&gt;=Parâmetros!$B$5,1,0),0)</f>
        <v>0</v>
      </c>
      <c r="U7" s="1" t="str">
        <f aca="false">IF(T7=1,SUM(T$6:T7),"")</f>
        <v/>
      </c>
      <c r="V7" s="1" t="n">
        <f aca="false">IF(AND(R7="Ameaça",ISNUMBER(S7)),IF(S7&gt;=Parâmetros!$B$5,1,0),0)</f>
        <v>0</v>
      </c>
      <c r="W7" s="1" t="str">
        <f aca="false">IF(V7=1,SUM(V$6:V7),"")</f>
        <v/>
      </c>
    </row>
    <row r="8" customFormat="false" ht="30" hidden="false" customHeight="true" outlineLevel="0" collapsed="false">
      <c r="A8" s="15" t="s">
        <v>32</v>
      </c>
      <c r="B8" s="16" t="n">
        <f aca="false">IF(C8="","",1)</f>
        <v>1</v>
      </c>
      <c r="C8" s="17" t="str">
        <f aca="false">IFERROR(INDEX($K$6:$K$21,MATCH(1,$N$6:$N$21,0)),"")</f>
        <v>[Agropecuária] AGR-01 – Quociente locacional do VAB agropecuário (base MT) (índice)</v>
      </c>
      <c r="D8" s="18" t="n">
        <f aca="false">IFERROR(INDEX($M$6:$M$21,MATCH(1,$N$6:$N$21,0)),"")</f>
        <v>1.364</v>
      </c>
      <c r="F8" s="19" t="n">
        <f aca="false">IF(G8="","",1)</f>
        <v>1</v>
      </c>
      <c r="G8" s="20" t="str">
        <f aca="false">IFERROR(INDEX($K$6:$K$21,MATCH(1,$O$6:$O$21,0)),"")</f>
        <v>[Agropecuária] AGR-03 – Variação do efetivo bovino em 5 anos (%)</v>
      </c>
      <c r="H8" s="21" t="n">
        <f aca="false">IFERROR(INDEX($M$6:$M$21,MATCH(1,$O$6:$O$21,0)),"")</f>
        <v>-2.74</v>
      </c>
      <c r="K8" s="1" t="str">
        <f aca="false">Aux!B8</f>
        <v>[Agropecuária] AGR-03 – Variação do efetivo bovino em 5 anos (%)</v>
      </c>
      <c r="L8" s="1" t="str">
        <f aca="false">'Indicadores (F-W)'!AA8</f>
        <v>Fraqueza</v>
      </c>
      <c r="M8" s="88" t="n">
        <f aca="false">IF('Indicadores (F-W)'!Z8="","",'Indicadores (F-W)'!Z8)</f>
        <v>-2.74</v>
      </c>
      <c r="N8" s="1" t="str">
        <f aca="false">IF(L8="Força",COUNTIF(L$6:L8,"Força"),"")</f>
        <v/>
      </c>
      <c r="O8" s="1" t="n">
        <f aca="false">IF(L8="Fraqueza",COUNTIF(L$6:L8,"Fraqueza"),"")</f>
        <v>1</v>
      </c>
      <c r="Q8" s="1" t="str">
        <f aca="false">Aux!I8</f>
        <v>[Comércio e Serviços] OP-03 – Expansão do turismo de natureza, pesca esportiva e ecoturismo</v>
      </c>
      <c r="R8" s="1" t="str">
        <f aca="false">Aux!J8</f>
        <v>Oportunidade</v>
      </c>
      <c r="S8" s="1" t="n">
        <f aca="false">IF('Fatores Externos (O-A)'!L8="","",'Fatores Externos (O-A)'!L8)</f>
        <v>1</v>
      </c>
      <c r="T8" s="1" t="n">
        <f aca="false">IF(AND(R8="Oportunidade",ISNUMBER(S8)),IF(S8&gt;=Parâmetros!$B$5,1,0),0)</f>
        <v>0</v>
      </c>
      <c r="U8" s="1" t="str">
        <f aca="false">IF(T8=1,SUM(T$6:T8),"")</f>
        <v/>
      </c>
      <c r="V8" s="1" t="n">
        <f aca="false">IF(AND(R8="Ameaça",ISNUMBER(S8)),IF(S8&gt;=Parâmetros!$B$5,1,0),0)</f>
        <v>0</v>
      </c>
      <c r="W8" s="1" t="str">
        <f aca="false">IF(V8=1,SUM(V$6:V8),"")</f>
        <v/>
      </c>
    </row>
    <row r="9" customFormat="false" ht="30" hidden="false" customHeight="true" outlineLevel="0" collapsed="false">
      <c r="A9" s="15"/>
      <c r="B9" s="16" t="n">
        <f aca="false">IF(C9="","",2)</f>
        <v>2</v>
      </c>
      <c r="C9" s="17" t="str">
        <f aca="false">IFERROR(INDEX($K$6:$K$21,MATCH(2,$N$6:$N$21,0)),"")</f>
        <v>[Agropecuária] AGR-02 – Valor da produção das lavouras por área colhida (R$/ha)</v>
      </c>
      <c r="D9" s="18" t="n">
        <f aca="false">IFERROR(INDEX($M$6:$M$21,MATCH(2,$N$6:$N$21,0)),"")</f>
        <v>9903.13</v>
      </c>
      <c r="F9" s="19" t="n">
        <f aca="false">IF(G9="","",2)</f>
        <v>2</v>
      </c>
      <c r="G9" s="20" t="str">
        <f aca="false">IFERROR(INDEX($K$6:$K$21,MATCH(2,$O$6:$O$21,0)),"")</f>
        <v>[Indústria] IND-02 – Variação do emprego formal na indústria em 5 anos (%)</v>
      </c>
      <c r="H9" s="21" t="n">
        <f aca="false">IFERROR(INDEX($M$6:$M$21,MATCH(2,$O$6:$O$21,0)),"")</f>
        <v>17.39</v>
      </c>
      <c r="K9" s="1" t="str">
        <f aca="false">Aux!B9</f>
        <v>[Agropecuária] AGR-04 – Estabelecimentos agropecuários que receberam assistência técnica (%)</v>
      </c>
      <c r="L9" s="1" t="str">
        <f aca="false">'Indicadores (F-W)'!AA9</f>
        <v/>
      </c>
      <c r="M9" s="1" t="str">
        <f aca="false">IF('Indicadores (F-W)'!Z9="","",'Indicadores (F-W)'!Z9)</f>
        <v/>
      </c>
      <c r="N9" s="1" t="str">
        <f aca="false">IF(L9="Força",COUNTIF(L$6:L9,"Força"),"")</f>
        <v/>
      </c>
      <c r="O9" s="1" t="str">
        <f aca="false">IF(L9="Fraqueza",COUNTIF(L$6:L9,"Fraqueza"),"")</f>
        <v/>
      </c>
      <c r="Q9" s="1" t="str">
        <f aca="false">Aux!I9</f>
        <v>[Indústria] OP-04 – Agroindustrialização e verticalização (frigoríficos, laticínios, sucroenergético)</v>
      </c>
      <c r="R9" s="1" t="str">
        <f aca="false">Aux!J9</f>
        <v>Oportunidade</v>
      </c>
      <c r="S9" s="1" t="n">
        <f aca="false">IF('Fatores Externos (O-A)'!L9="","",'Fatores Externos (O-A)'!L9)</f>
        <v>3</v>
      </c>
      <c r="T9" s="1" t="n">
        <f aca="false">IF(AND(R9="Oportunidade",ISNUMBER(S9)),IF(S9&gt;=Parâmetros!$B$5,1,0),0)</f>
        <v>1</v>
      </c>
      <c r="U9" s="1" t="n">
        <f aca="false">IF(T9=1,SUM(T$6:T9),"")</f>
        <v>2</v>
      </c>
      <c r="V9" s="1" t="n">
        <f aca="false">IF(AND(R9="Ameaça",ISNUMBER(S9)),IF(S9&gt;=Parâmetros!$B$5,1,0),0)</f>
        <v>0</v>
      </c>
      <c r="W9" s="1" t="str">
        <f aca="false">IF(V9=1,SUM(V$6:V9),"")</f>
        <v/>
      </c>
    </row>
    <row r="10" customFormat="false" ht="30" hidden="false" customHeight="true" outlineLevel="0" collapsed="false">
      <c r="A10" s="15"/>
      <c r="B10" s="16" t="str">
        <f aca="false">IF(C10="","",3)</f>
        <v/>
      </c>
      <c r="C10" s="17" t="str">
        <f aca="false">IFERROR(INDEX($K$6:$K$21,MATCH(3,$N$6:$N$21,0)),"")</f>
        <v/>
      </c>
      <c r="D10" s="18" t="str">
        <f aca="false">IFERROR(INDEX($M$6:$M$21,MATCH(3,$N$6:$N$21,0)),"")</f>
        <v/>
      </c>
      <c r="F10" s="19" t="n">
        <f aca="false">IF(G10="","",3)</f>
        <v>3</v>
      </c>
      <c r="G10" s="20" t="str">
        <f aca="false">IFERROR(INDEX($K$6:$K$21,MATCH(3,$O$6:$O$21,0)),"")</f>
        <v>[Comércio e Serviços] CS-01 – Quociente locacional do VAB de serviços, exceto adm. pública (base MT) (índice)</v>
      </c>
      <c r="H10" s="21" t="n">
        <f aca="false">IFERROR(INDEX($M$6:$M$21,MATCH(3,$O$6:$O$21,0)),"")</f>
        <v>0.3227</v>
      </c>
      <c r="K10" s="1" t="str">
        <f aca="false">Aux!B10</f>
        <v>[Agropecuária] AGR-05 – Diversificação agrícola (1 − HHI do valor da produção das lavouras) (índice 0–1)</v>
      </c>
      <c r="L10" s="1" t="str">
        <f aca="false">'Indicadores (F-W)'!AA10</f>
        <v/>
      </c>
      <c r="M10" s="1" t="str">
        <f aca="false">IF('Indicadores (F-W)'!Z10="","",'Indicadores (F-W)'!Z10)</f>
        <v/>
      </c>
      <c r="N10" s="1" t="str">
        <f aca="false">IF(L10="Força",COUNTIF(L$6:L10,"Força"),"")</f>
        <v/>
      </c>
      <c r="O10" s="1" t="str">
        <f aca="false">IF(L10="Fraqueza",COUNTIF(L$6:L10,"Fraqueza"),"")</f>
        <v/>
      </c>
      <c r="Q10" s="1" t="str">
        <f aca="false">Aux!I10</f>
        <v>[Estrutura Econômica e Fiscal] OP-05 – Corredores logísticos (rodovias federais, ferrovia, hidrovia do Paraguai)</v>
      </c>
      <c r="R10" s="1" t="str">
        <f aca="false">Aux!J10</f>
        <v>Oportunidade</v>
      </c>
      <c r="S10" s="1" t="n">
        <f aca="false">IF('Fatores Externos (O-A)'!L10="","",'Fatores Externos (O-A)'!L10)</f>
        <v>1</v>
      </c>
      <c r="T10" s="1" t="n">
        <f aca="false">IF(AND(R10="Oportunidade",ISNUMBER(S10)),IF(S10&gt;=Parâmetros!$B$5,1,0),0)</f>
        <v>0</v>
      </c>
      <c r="U10" s="1" t="str">
        <f aca="false">IF(T10=1,SUM(T$6:T10),"")</f>
        <v/>
      </c>
      <c r="V10" s="1" t="n">
        <f aca="false">IF(AND(R10="Ameaça",ISNUMBER(S10)),IF(S10&gt;=Parâmetros!$B$5,1,0),0)</f>
        <v>0</v>
      </c>
      <c r="W10" s="1" t="str">
        <f aca="false">IF(V10=1,SUM(V$6:V10),"")</f>
        <v/>
      </c>
    </row>
    <row r="11" customFormat="false" ht="30" hidden="false" customHeight="true" outlineLevel="0" collapsed="false">
      <c r="A11" s="15"/>
      <c r="B11" s="16" t="str">
        <f aca="false">IF(C11="","",4)</f>
        <v/>
      </c>
      <c r="C11" s="17" t="str">
        <f aca="false">IFERROR(INDEX($K$6:$K$21,MATCH(4,$N$6:$N$21,0)),"")</f>
        <v/>
      </c>
      <c r="D11" s="18" t="str">
        <f aca="false">IFERROR(INDEX($M$6:$M$21,MATCH(4,$N$6:$N$21,0)),"")</f>
        <v/>
      </c>
      <c r="F11" s="19" t="n">
        <f aca="false">IF(G11="","",4)</f>
        <v>4</v>
      </c>
      <c r="G11" s="20" t="str">
        <f aca="false">IFERROR(INDEX($K$6:$K$21,MATCH(4,$O$6:$O$21,0)),"")</f>
        <v>[Comércio e Serviços] CS-02 – Variação do emprego formal em comércio e serviços em 5 anos (%)</v>
      </c>
      <c r="H11" s="21" t="n">
        <f aca="false">IFERROR(INDEX($M$6:$M$21,MATCH(4,$O$6:$O$21,0)),"")</f>
        <v>13.39</v>
      </c>
      <c r="K11" s="1" t="str">
        <f aca="false">Aux!B11</f>
        <v>[Indústria] IND-01 – Quociente locacional do VAB industrial (base MT) (índice)</v>
      </c>
      <c r="L11" s="1" t="str">
        <f aca="false">'Indicadores (F-W)'!AA11</f>
        <v>Neutro</v>
      </c>
      <c r="M11" s="87" t="n">
        <f aca="false">IF('Indicadores (F-W)'!Z11="","",'Indicadores (F-W)'!Z11)</f>
        <v>1.1956</v>
      </c>
      <c r="N11" s="1" t="str">
        <f aca="false">IF(L11="Força",COUNTIF(L$6:L11,"Força"),"")</f>
        <v/>
      </c>
      <c r="O11" s="1" t="str">
        <f aca="false">IF(L11="Fraqueza",COUNTIF(L$6:L11,"Fraqueza"),"")</f>
        <v/>
      </c>
      <c r="Q11" s="1" t="str">
        <f aca="false">Aux!I11</f>
        <v>[Estrutura Econômica e Fiscal] OP-06 – Instrumentos de fomento e financiamento (FCO, crédito rural, PSA, mercado de carbono)</v>
      </c>
      <c r="R11" s="1" t="str">
        <f aca="false">Aux!J11</f>
        <v>Oportunidade</v>
      </c>
      <c r="S11" s="1" t="n">
        <f aca="false">IF('Fatores Externos (O-A)'!L11="","",'Fatores Externos (O-A)'!L11)</f>
        <v>2</v>
      </c>
      <c r="T11" s="1" t="n">
        <f aca="false">IF(AND(R11="Oportunidade",ISNUMBER(S11)),IF(S11&gt;=Parâmetros!$B$5,1,0),0)</f>
        <v>1</v>
      </c>
      <c r="U11" s="1" t="n">
        <f aca="false">IF(T11=1,SUM(T$6:T11),"")</f>
        <v>3</v>
      </c>
      <c r="V11" s="1" t="n">
        <f aca="false">IF(AND(R11="Ameaça",ISNUMBER(S11)),IF(S11&gt;=Parâmetros!$B$5,1,0),0)</f>
        <v>0</v>
      </c>
      <c r="W11" s="1" t="str">
        <f aca="false">IF(V11=1,SUM(V$6:V11),"")</f>
        <v/>
      </c>
    </row>
    <row r="12" customFormat="false" ht="30" hidden="false" customHeight="true" outlineLevel="0" collapsed="false">
      <c r="A12" s="15"/>
      <c r="B12" s="16" t="str">
        <f aca="false">IF(C12="","",5)</f>
        <v/>
      </c>
      <c r="C12" s="17" t="str">
        <f aca="false">IFERROR(INDEX($K$6:$K$21,MATCH(5,$N$6:$N$21,0)),"")</f>
        <v/>
      </c>
      <c r="D12" s="18" t="str">
        <f aca="false">IFERROR(INDEX($M$6:$M$21,MATCH(5,$N$6:$N$21,0)),"")</f>
        <v/>
      </c>
      <c r="F12" s="19" t="n">
        <f aca="false">IF(G12="","",5)</f>
        <v>5</v>
      </c>
      <c r="G12" s="20" t="str">
        <f aca="false">IFERROR(INDEX($K$6:$K$21,MATCH(5,$O$6:$O$21,0)),"")</f>
        <v>[Comércio e Serviços] CS-03 – Empresas e outras organizações ativas por mil habitantes (un./mil hab.)</v>
      </c>
      <c r="H12" s="21" t="n">
        <f aca="false">IFERROR(INDEX($M$6:$M$21,MATCH(5,$O$6:$O$21,0)),"")</f>
        <v>14.41</v>
      </c>
      <c r="K12" s="1" t="str">
        <f aca="false">Aux!B12</f>
        <v>[Indústria] IND-02 – Variação do emprego formal na indústria em 5 anos (%)</v>
      </c>
      <c r="L12" s="1" t="str">
        <f aca="false">'Indicadores (F-W)'!AA12</f>
        <v>Fraqueza</v>
      </c>
      <c r="M12" s="88" t="n">
        <f aca="false">IF('Indicadores (F-W)'!Z12="","",'Indicadores (F-W)'!Z12)</f>
        <v>17.39</v>
      </c>
      <c r="N12" s="1" t="str">
        <f aca="false">IF(L12="Força",COUNTIF(L$6:L12,"Força"),"")</f>
        <v/>
      </c>
      <c r="O12" s="1" t="n">
        <f aca="false">IF(L12="Fraqueza",COUNTIF(L$6:L12,"Fraqueza"),"")</f>
        <v>2</v>
      </c>
      <c r="Q12" s="1" t="str">
        <f aca="false">Aux!I12</f>
        <v>[Agropecuária] AM-01 – Eventos climáticos extremos: secas prolongadas e incêndios no Pantanal</v>
      </c>
      <c r="R12" s="1" t="str">
        <f aca="false">Aux!J12</f>
        <v>Ameaça</v>
      </c>
      <c r="S12" s="1" t="n">
        <f aca="false">IF('Fatores Externos (O-A)'!L12="","",'Fatores Externos (O-A)'!L12)</f>
        <v>1</v>
      </c>
      <c r="T12" s="1" t="n">
        <f aca="false">IF(AND(R12="Oportunidade",ISNUMBER(S12)),IF(S12&gt;=Parâmetros!$B$5,1,0),0)</f>
        <v>0</v>
      </c>
      <c r="U12" s="1" t="str">
        <f aca="false">IF(T12=1,SUM(T$6:T12),"")</f>
        <v/>
      </c>
      <c r="V12" s="1" t="n">
        <f aca="false">IF(AND(R12="Ameaça",ISNUMBER(S12)),IF(S12&gt;=Parâmetros!$B$5,1,0),0)</f>
        <v>0</v>
      </c>
      <c r="W12" s="1" t="str">
        <f aca="false">IF(V12=1,SUM(V$6:V12),"")</f>
        <v/>
      </c>
    </row>
    <row r="13" customFormat="false" ht="30" hidden="false" customHeight="true" outlineLevel="0" collapsed="false">
      <c r="A13" s="15"/>
      <c r="B13" s="16" t="str">
        <f aca="false">IF(C13="","",6)</f>
        <v/>
      </c>
      <c r="C13" s="17" t="str">
        <f aca="false">IFERROR(INDEX($K$6:$K$21,MATCH(6,$N$6:$N$21,0)),"")</f>
        <v/>
      </c>
      <c r="D13" s="18" t="str">
        <f aca="false">IFERROR(INDEX($M$6:$M$21,MATCH(6,$N$6:$N$21,0)),"")</f>
        <v/>
      </c>
      <c r="F13" s="19" t="n">
        <f aca="false">IF(G13="","",6)</f>
        <v>6</v>
      </c>
      <c r="G13" s="20" t="str">
        <f aca="false">IFERROR(INDEX($K$6:$K$21,MATCH(6,$O$6:$O$21,0)),"")</f>
        <v>[Estrutura Econômica e Fiscal] EST-01 – PIB per capita (R$)</v>
      </c>
      <c r="H13" s="21" t="n">
        <f aca="false">IFERROR(INDEX($M$6:$M$21,MATCH(6,$O$6:$O$21,0)),"")</f>
        <v>59335.82</v>
      </c>
      <c r="K13" s="1" t="str">
        <f aca="false">Aux!B13</f>
        <v>[Indústria] IND-03 – Remuneração média do emprego formal industrial (R$)</v>
      </c>
      <c r="L13" s="1" t="str">
        <f aca="false">'Indicadores (F-W)'!AA13</f>
        <v>Neutro</v>
      </c>
      <c r="M13" s="88" t="n">
        <f aca="false">IF('Indicadores (F-W)'!Z13="","",'Indicadores (F-W)'!Z13)</f>
        <v>3096.65</v>
      </c>
      <c r="N13" s="1" t="str">
        <f aca="false">IF(L13="Força",COUNTIF(L$6:L13,"Força"),"")</f>
        <v/>
      </c>
      <c r="O13" s="1" t="str">
        <f aca="false">IF(L13="Fraqueza",COUNTIF(L$6:L13,"Fraqueza"),"")</f>
        <v/>
      </c>
      <c r="Q13" s="1" t="str">
        <f aca="false">Aux!I13</f>
        <v>[Agropecuária] AM-02 – Volatilidade de preços de commodities (boi gordo, soja, milho)</v>
      </c>
      <c r="R13" s="1" t="str">
        <f aca="false">Aux!J13</f>
        <v>Ameaça</v>
      </c>
      <c r="S13" s="1" t="n">
        <f aca="false">IF('Fatores Externos (O-A)'!L13="","",'Fatores Externos (O-A)'!L13)</f>
        <v>2</v>
      </c>
      <c r="T13" s="1" t="n">
        <f aca="false">IF(AND(R13="Oportunidade",ISNUMBER(S13)),IF(S13&gt;=Parâmetros!$B$5,1,0),0)</f>
        <v>0</v>
      </c>
      <c r="U13" s="1" t="str">
        <f aca="false">IF(T13=1,SUM(T$6:T13),"")</f>
        <v/>
      </c>
      <c r="V13" s="1" t="n">
        <f aca="false">IF(AND(R13="Ameaça",ISNUMBER(S13)),IF(S13&gt;=Parâmetros!$B$5,1,0),0)</f>
        <v>1</v>
      </c>
      <c r="W13" s="1" t="n">
        <f aca="false">IF(V13=1,SUM(V$6:V13),"")</f>
        <v>1</v>
      </c>
    </row>
    <row r="14" customFormat="false" ht="30" hidden="false" customHeight="true" outlineLevel="0" collapsed="false">
      <c r="A14" s="15"/>
      <c r="B14" s="16" t="str">
        <f aca="false">IF(C14="","",7)</f>
        <v/>
      </c>
      <c r="C14" s="17" t="str">
        <f aca="false">IFERROR(INDEX($K$6:$K$21,MATCH(7,$N$6:$N$21,0)),"")</f>
        <v/>
      </c>
      <c r="D14" s="18" t="str">
        <f aca="false">IFERROR(INDEX($M$6:$M$21,MATCH(7,$N$6:$N$21,0)),"")</f>
        <v/>
      </c>
      <c r="F14" s="19" t="n">
        <f aca="false">IF(G14="","",7)</f>
        <v>7</v>
      </c>
      <c r="G14" s="20" t="str">
        <f aca="false">IFERROR(INDEX($K$6:$K$21,MATCH(7,$O$6:$O$21,0)),"")</f>
        <v>[Estrutura Econômica e Fiscal] EST-02 – Participação da administração pública no VAB total (%)</v>
      </c>
      <c r="H14" s="21" t="n">
        <f aca="false">IFERROR(INDEX($M$6:$M$21,MATCH(7,$O$6:$O$21,0)),"")</f>
        <v>18.67</v>
      </c>
      <c r="K14" s="1" t="str">
        <f aca="false">Aux!B14</f>
        <v>[Comércio e Serviços] CS-01 – Quociente locacional do VAB de serviços, exceto adm. pública (base MT) (índice)</v>
      </c>
      <c r="L14" s="1" t="str">
        <f aca="false">'Indicadores (F-W)'!AA14</f>
        <v>Fraqueza</v>
      </c>
      <c r="M14" s="87" t="n">
        <f aca="false">IF('Indicadores (F-W)'!Z14="","",'Indicadores (F-W)'!Z14)</f>
        <v>0.3227</v>
      </c>
      <c r="N14" s="1" t="str">
        <f aca="false">IF(L14="Força",COUNTIF(L$6:L14,"Força"),"")</f>
        <v/>
      </c>
      <c r="O14" s="1" t="n">
        <f aca="false">IF(L14="Fraqueza",COUNTIF(L$6:L14,"Fraqueza"),"")</f>
        <v>3</v>
      </c>
      <c r="Q14" s="1" t="str">
        <f aca="false">Aux!I14</f>
        <v>[Agropecuária] AM-03 – Exigências ambientais de mercados importadores e barreiras ligadas a desmatamento (ex.: EUDR)</v>
      </c>
      <c r="R14" s="1" t="str">
        <f aca="false">Aux!J14</f>
        <v>Ameaça</v>
      </c>
      <c r="S14" s="1" t="n">
        <f aca="false">IF('Fatores Externos (O-A)'!L14="","",'Fatores Externos (O-A)'!L14)</f>
        <v>2</v>
      </c>
      <c r="T14" s="1" t="n">
        <f aca="false">IF(AND(R14="Oportunidade",ISNUMBER(S14)),IF(S14&gt;=Parâmetros!$B$5,1,0),0)</f>
        <v>0</v>
      </c>
      <c r="U14" s="1" t="str">
        <f aca="false">IF(T14=1,SUM(T$6:T14),"")</f>
        <v/>
      </c>
      <c r="V14" s="1" t="n">
        <f aca="false">IF(AND(R14="Ameaça",ISNUMBER(S14)),IF(S14&gt;=Parâmetros!$B$5,1,0),0)</f>
        <v>1</v>
      </c>
      <c r="W14" s="1" t="n">
        <f aca="false">IF(V14=1,SUM(V$6:V14),"")</f>
        <v>2</v>
      </c>
    </row>
    <row r="15" customFormat="false" ht="30" hidden="false" customHeight="true" outlineLevel="0" collapsed="false">
      <c r="A15" s="15"/>
      <c r="B15" s="16" t="str">
        <f aca="false">IF(C15="","",8)</f>
        <v/>
      </c>
      <c r="C15" s="17" t="str">
        <f aca="false">IFERROR(INDEX($K$6:$K$21,MATCH(8,$N$6:$N$21,0)),"")</f>
        <v/>
      </c>
      <c r="D15" s="18" t="str">
        <f aca="false">IFERROR(INDEX($M$6:$M$21,MATCH(8,$N$6:$N$21,0)),"")</f>
        <v/>
      </c>
      <c r="F15" s="19" t="n">
        <f aca="false">IF(G15="","",8)</f>
        <v>8</v>
      </c>
      <c r="G15" s="20" t="str">
        <f aca="false">IFERROR(INDEX($K$6:$K$21,MATCH(8,$O$6:$O$21,0)),"")</f>
        <v>[Estrutura Econômica e Fiscal] EST-04 – Concentração setorial do emprego formal (HHI por seção CNAE) (índice 0–1)</v>
      </c>
      <c r="H15" s="21" t="n">
        <f aca="false">IFERROR(INDEX($M$6:$M$21,MATCH(8,$O$6:$O$21,0)),"")</f>
        <v>0.3954</v>
      </c>
      <c r="K15" s="1" t="str">
        <f aca="false">Aux!B15</f>
        <v>[Comércio e Serviços] CS-02 – Variação do emprego formal em comércio e serviços em 5 anos (%)</v>
      </c>
      <c r="L15" s="1" t="str">
        <f aca="false">'Indicadores (F-W)'!AA15</f>
        <v>Fraqueza</v>
      </c>
      <c r="M15" s="88" t="n">
        <f aca="false">IF('Indicadores (F-W)'!Z15="","",'Indicadores (F-W)'!Z15)</f>
        <v>13.39</v>
      </c>
      <c r="N15" s="1" t="str">
        <f aca="false">IF(L15="Força",COUNTIF(L$6:L15,"Força"),"")</f>
        <v/>
      </c>
      <c r="O15" s="1" t="n">
        <f aca="false">IF(L15="Fraqueza",COUNTIF(L$6:L15,"Fraqueza"),"")</f>
        <v>4</v>
      </c>
      <c r="Q15" s="1" t="str">
        <f aca="false">Aux!I15</f>
        <v>[Estrutura Econômica e Fiscal] AM-04 – Transição da Reforma Tributária (IBS/CBS) e efeitos sobre a repartição de receitas municipais</v>
      </c>
      <c r="R15" s="1" t="str">
        <f aca="false">Aux!J15</f>
        <v>Ameaça</v>
      </c>
      <c r="S15" s="1" t="n">
        <f aca="false">IF('Fatores Externos (O-A)'!L15="","",'Fatores Externos (O-A)'!L15)</f>
        <v>2</v>
      </c>
      <c r="T15" s="1" t="n">
        <f aca="false">IF(AND(R15="Oportunidade",ISNUMBER(S15)),IF(S15&gt;=Parâmetros!$B$5,1,0),0)</f>
        <v>0</v>
      </c>
      <c r="U15" s="1" t="str">
        <f aca="false">IF(T15=1,SUM(T$6:T15),"")</f>
        <v/>
      </c>
      <c r="V15" s="1" t="n">
        <f aca="false">IF(AND(R15="Ameaça",ISNUMBER(S15)),IF(S15&gt;=Parâmetros!$B$5,1,0),0)</f>
        <v>1</v>
      </c>
      <c r="W15" s="1" t="n">
        <f aca="false">IF(V15=1,SUM(V$6:V15),"")</f>
        <v>3</v>
      </c>
    </row>
    <row r="16" customFormat="false" ht="30" hidden="false" customHeight="true" outlineLevel="0" collapsed="false">
      <c r="A16" s="15"/>
      <c r="B16" s="16" t="str">
        <f aca="false">IF(C16="","",9)</f>
        <v/>
      </c>
      <c r="C16" s="17" t="str">
        <f aca="false">IFERROR(INDEX($K$6:$K$21,MATCH(9,$N$6:$N$21,0)),"")</f>
        <v/>
      </c>
      <c r="D16" s="18" t="str">
        <f aca="false">IFERROR(INDEX($M$6:$M$21,MATCH(9,$N$6:$N$21,0)),"")</f>
        <v/>
      </c>
      <c r="F16" s="19" t="n">
        <f aca="false">IF(G16="","",9)</f>
        <v>9</v>
      </c>
      <c r="G16" s="20" t="str">
        <f aca="false">IFERROR(INDEX($K$6:$K$21,MATCH(9,$O$6:$O$21,0)),"")</f>
        <v>[Estrutura Econômica e Fiscal] EST-05 – Receitas próprias / receita corrente (%)</v>
      </c>
      <c r="H16" s="21" t="n">
        <f aca="false">IFERROR(INDEX($M$6:$M$21,MATCH(9,$O$6:$O$21,0)),"")</f>
        <v>7.14</v>
      </c>
      <c r="K16" s="1" t="str">
        <f aca="false">Aux!B16</f>
        <v>[Comércio e Serviços] CS-03 – Empresas e outras organizações ativas por mil habitantes (un./mil hab.)</v>
      </c>
      <c r="L16" s="1" t="str">
        <f aca="false">'Indicadores (F-W)'!AA16</f>
        <v>Fraqueza</v>
      </c>
      <c r="M16" s="88" t="n">
        <f aca="false">IF('Indicadores (F-W)'!Z16="","",'Indicadores (F-W)'!Z16)</f>
        <v>14.41</v>
      </c>
      <c r="N16" s="1" t="str">
        <f aca="false">IF(L16="Força",COUNTIF(L$6:L16,"Força"),"")</f>
        <v/>
      </c>
      <c r="O16" s="1" t="n">
        <f aca="false">IF(L16="Fraqueza",COUNTIF(L$6:L16,"Fraqueza"),"")</f>
        <v>5</v>
      </c>
      <c r="Q16" s="1" t="str">
        <f aca="false">Aux!I16</f>
        <v>[Comércio e Serviços] AM-05 – Polarização regional por centros maiores (evasão de consumo, serviços e mão de obra)</v>
      </c>
      <c r="R16" s="1" t="str">
        <f aca="false">Aux!J16</f>
        <v>Ameaça</v>
      </c>
      <c r="S16" s="1" t="n">
        <f aca="false">IF('Fatores Externos (O-A)'!L16="","",'Fatores Externos (O-A)'!L16)</f>
        <v>2</v>
      </c>
      <c r="T16" s="1" t="n">
        <f aca="false">IF(AND(R16="Oportunidade",ISNUMBER(S16)),IF(S16&gt;=Parâmetros!$B$5,1,0),0)</f>
        <v>0</v>
      </c>
      <c r="U16" s="1" t="str">
        <f aca="false">IF(T16=1,SUM(T$6:T16),"")</f>
        <v/>
      </c>
      <c r="V16" s="1" t="n">
        <f aca="false">IF(AND(R16="Ameaça",ISNUMBER(S16)),IF(S16&gt;=Parâmetros!$B$5,1,0),0)</f>
        <v>1</v>
      </c>
      <c r="W16" s="1" t="n">
        <f aca="false">IF(V16=1,SUM(V$6:V16),"")</f>
        <v>4</v>
      </c>
    </row>
    <row r="17" customFormat="false" ht="30" hidden="false" customHeight="true" outlineLevel="0" collapsed="false">
      <c r="A17" s="15"/>
      <c r="B17" s="16" t="str">
        <f aca="false">IF(C17="","",10)</f>
        <v/>
      </c>
      <c r="C17" s="17" t="str">
        <f aca="false">IFERROR(INDEX($K$6:$K$21,MATCH(10,$N$6:$N$21,0)),"")</f>
        <v/>
      </c>
      <c r="D17" s="18" t="str">
        <f aca="false">IFERROR(INDEX($M$6:$M$21,MATCH(10,$N$6:$N$21,0)),"")</f>
        <v/>
      </c>
      <c r="F17" s="19" t="str">
        <f aca="false">IF(G17="","",10)</f>
        <v/>
      </c>
      <c r="G17" s="20" t="str">
        <f aca="false">IFERROR(INDEX($K$6:$K$21,MATCH(10,$O$6:$O$21,0)),"")</f>
        <v/>
      </c>
      <c r="H17" s="21" t="str">
        <f aca="false">IFERROR(INDEX($M$6:$M$21,MATCH(10,$O$6:$O$21,0)),"")</f>
        <v/>
      </c>
      <c r="K17" s="1" t="str">
        <f aca="false">Aux!B17</f>
        <v>[Estrutura Econômica e Fiscal] EST-01 – PIB per capita (R$)</v>
      </c>
      <c r="L17" s="1" t="str">
        <f aca="false">'Indicadores (F-W)'!AA17</f>
        <v>Fraqueza</v>
      </c>
      <c r="M17" s="89" t="n">
        <f aca="false">IF('Indicadores (F-W)'!Z17="","",'Indicadores (F-W)'!Z17)</f>
        <v>59335.82</v>
      </c>
      <c r="N17" s="1" t="str">
        <f aca="false">IF(L17="Força",COUNTIF(L$6:L17,"Força"),"")</f>
        <v/>
      </c>
      <c r="O17" s="1" t="n">
        <f aca="false">IF(L17="Fraqueza",COUNTIF(L$6:L17,"Fraqueza"),"")</f>
        <v>6</v>
      </c>
    </row>
    <row r="18" customFormat="false" ht="30" hidden="false" customHeight="true" outlineLevel="0" collapsed="false">
      <c r="A18" s="15"/>
      <c r="B18" s="16" t="str">
        <f aca="false">IF(C18="","",11)</f>
        <v/>
      </c>
      <c r="C18" s="17" t="str">
        <f aca="false">IFERROR(INDEX($K$6:$K$21,MATCH(11,$N$6:$N$21,0)),"")</f>
        <v/>
      </c>
      <c r="D18" s="18" t="str">
        <f aca="false">IFERROR(INDEX($M$6:$M$21,MATCH(11,$N$6:$N$21,0)),"")</f>
        <v/>
      </c>
      <c r="F18" s="19" t="str">
        <f aca="false">IF(G18="","",11)</f>
        <v/>
      </c>
      <c r="G18" s="20" t="str">
        <f aca="false">IFERROR(INDEX($K$6:$K$21,MATCH(11,$O$6:$O$21,0)),"")</f>
        <v/>
      </c>
      <c r="H18" s="21" t="str">
        <f aca="false">IFERROR(INDEX($M$6:$M$21,MATCH(11,$O$6:$O$21,0)),"")</f>
        <v/>
      </c>
      <c r="K18" s="1" t="str">
        <f aca="false">Aux!B18</f>
        <v>[Estrutura Econômica e Fiscal] EST-02 – Participação da administração pública no VAB total (%)</v>
      </c>
      <c r="L18" s="1" t="str">
        <f aca="false">'Indicadores (F-W)'!AA18</f>
        <v>Fraqueza</v>
      </c>
      <c r="M18" s="90" t="n">
        <f aca="false">IF('Indicadores (F-W)'!Z18="","",'Indicadores (F-W)'!Z18)</f>
        <v>18.67</v>
      </c>
      <c r="N18" s="1" t="str">
        <f aca="false">IF(L18="Força",COUNTIF(L$6:L18,"Força"),"")</f>
        <v/>
      </c>
      <c r="O18" s="1" t="n">
        <f aca="false">IF(L18="Fraqueza",COUNTIF(L$6:L18,"Fraqueza"),"")</f>
        <v>7</v>
      </c>
    </row>
    <row r="19" customFormat="false" ht="30" hidden="false" customHeight="true" outlineLevel="0" collapsed="false">
      <c r="A19" s="15"/>
      <c r="B19" s="16" t="str">
        <f aca="false">IF(C19="","",12)</f>
        <v/>
      </c>
      <c r="C19" s="17" t="str">
        <f aca="false">IFERROR(INDEX($K$6:$K$21,MATCH(12,$N$6:$N$21,0)),"")</f>
        <v/>
      </c>
      <c r="D19" s="18" t="str">
        <f aca="false">IFERROR(INDEX($M$6:$M$21,MATCH(12,$N$6:$N$21,0)),"")</f>
        <v/>
      </c>
      <c r="F19" s="19" t="str">
        <f aca="false">IF(G19="","",12)</f>
        <v/>
      </c>
      <c r="G19" s="20" t="str">
        <f aca="false">IFERROR(INDEX($K$6:$K$21,MATCH(12,$O$6:$O$21,0)),"")</f>
        <v/>
      </c>
      <c r="H19" s="21" t="str">
        <f aca="false">IFERROR(INDEX($M$6:$M$21,MATCH(12,$O$6:$O$21,0)),"")</f>
        <v/>
      </c>
      <c r="K19" s="1" t="str">
        <f aca="false">Aux!B19</f>
        <v>[Estrutura Econômica e Fiscal] EST-03 – Vínculos formais por 100 habitantes (vínculos/100 hab.)</v>
      </c>
      <c r="L19" s="1" t="str">
        <f aca="false">'Indicadores (F-W)'!AA19</f>
        <v>Neutro</v>
      </c>
      <c r="M19" s="88" t="n">
        <f aca="false">IF('Indicadores (F-W)'!Z19="","",'Indicadores (F-W)'!Z19)</f>
        <v>30.4</v>
      </c>
      <c r="N19" s="1" t="str">
        <f aca="false">IF(L19="Força",COUNTIF(L$6:L19,"Força"),"")</f>
        <v/>
      </c>
      <c r="O19" s="1" t="str">
        <f aca="false">IF(L19="Fraqueza",COUNTIF(L$6:L19,"Fraqueza"),"")</f>
        <v/>
      </c>
    </row>
    <row r="20" customFormat="false" ht="15" hidden="false" customHeight="true" outlineLevel="0" collapsed="false">
      <c r="C20" s="22" t="str">
        <f aca="false">IF(COUNTIF($L$6:$L$21,"Força")&gt;12,"+ "&amp;(COUNTIF($L$6:$L$21,"Força")-12)&amp;" item(ns) não exibido(s)","")</f>
        <v/>
      </c>
      <c r="G20" s="22" t="str">
        <f aca="false">IF(COUNTIF($L$6:$L$21,"Fraqueza")&gt;12,"+ "&amp;(COUNTIF($L$6:$L$21,"Fraqueza")-12)&amp;" item(ns) não exibido(s)","")</f>
        <v/>
      </c>
      <c r="K20" s="1" t="str">
        <f aca="false">Aux!B20</f>
        <v>[Estrutura Econômica e Fiscal] EST-04 – Concentração setorial do emprego formal (HHI por seção CNAE) (índice 0–1)</v>
      </c>
      <c r="L20" s="1" t="str">
        <f aca="false">'Indicadores (F-W)'!AA20</f>
        <v>Fraqueza</v>
      </c>
      <c r="M20" s="93" t="n">
        <f aca="false">IF('Indicadores (F-W)'!Z20="","",'Indicadores (F-W)'!Z20)</f>
        <v>0.3954</v>
      </c>
      <c r="N20" s="1" t="str">
        <f aca="false">IF(L20="Força",COUNTIF(L$6:L20,"Força"),"")</f>
        <v/>
      </c>
      <c r="O20" s="1" t="n">
        <f aca="false">IF(L20="Fraqueza",COUNTIF(L$6:L20,"Fraqueza"),"")</f>
        <v>8</v>
      </c>
    </row>
    <row r="21" customFormat="false" ht="15" hidden="false" customHeight="true" outlineLevel="0" collapsed="false">
      <c r="K21" s="1" t="str">
        <f aca="false">Aux!B21</f>
        <v>[Estrutura Econômica e Fiscal] EST-05 – Receitas próprias / receita corrente (%)</v>
      </c>
      <c r="L21" s="1" t="str">
        <f aca="false">'Indicadores (F-W)'!AA21</f>
        <v>Fraqueza</v>
      </c>
      <c r="M21" s="88" t="n">
        <f aca="false">IF('Indicadores (F-W)'!Z21="","",'Indicadores (F-W)'!Z21)</f>
        <v>7.14</v>
      </c>
      <c r="N21" s="1" t="str">
        <f aca="false">IF(L21="Força",COUNTIF(L$6:L21,"Força"),"")</f>
        <v/>
      </c>
      <c r="O21" s="1" t="n">
        <f aca="false">IF(L21="Fraqueza",COUNTIF(L$6:L21,"Fraqueza"),"")</f>
        <v>9</v>
      </c>
    </row>
    <row r="22" customFormat="false" ht="15" hidden="false" customHeight="true" outlineLevel="0" collapsed="false">
      <c r="B22" s="23" t="str">
        <f aca="false">"OPORTUNIDADES (O) — "&amp;SUM($T$6:$T$16)&amp;" item(ns)"</f>
        <v>OPORTUNIDADES (O) — 3 item(ns)</v>
      </c>
      <c r="C22" s="23"/>
      <c r="D22" s="23"/>
      <c r="F22" s="24" t="str">
        <f aca="false">"AMEAÇAS (T) — "&amp;SUM($V$6:$V$16)&amp;" item(ns)"</f>
        <v>AMEAÇAS (T) — 4 item(ns)</v>
      </c>
      <c r="G22" s="24"/>
      <c r="H22" s="24"/>
    </row>
    <row r="23" customFormat="false" ht="15" hidden="false" customHeight="true" outlineLevel="0" collapsed="false">
      <c r="B23" s="25" t="s">
        <v>29</v>
      </c>
      <c r="C23" s="25" t="s">
        <v>30</v>
      </c>
      <c r="D23" s="25" t="s">
        <v>33</v>
      </c>
      <c r="F23" s="26" t="s">
        <v>29</v>
      </c>
      <c r="G23" s="26" t="s">
        <v>30</v>
      </c>
      <c r="H23" s="26" t="s">
        <v>33</v>
      </c>
    </row>
    <row r="24" customFormat="false" ht="30" hidden="false" customHeight="true" outlineLevel="0" collapsed="false">
      <c r="A24" s="15" t="s">
        <v>34</v>
      </c>
      <c r="B24" s="27" t="n">
        <f aca="false">IF(C24="","",1)</f>
        <v>1</v>
      </c>
      <c r="C24" s="28" t="str">
        <f aca="false">IFERROR(INDEX($Q$6:$Q$16,MATCH(1,$U$6:$U$16,0)),"")</f>
        <v>[Agropecuária] OP-01 – Demanda externa por carne bovina e proteína animal</v>
      </c>
      <c r="D24" s="29" t="n">
        <f aca="false">IFERROR(INDEX($S$6:$S$16,MATCH(1,$U$6:$U$16,0)),"")</f>
        <v>2</v>
      </c>
      <c r="F24" s="30" t="n">
        <f aca="false">IF(G24="","",1)</f>
        <v>1</v>
      </c>
      <c r="G24" s="31" t="str">
        <f aca="false">IFERROR(INDEX($Q$6:$Q$16,MATCH(1,$W$6:$W$16,0)),"")</f>
        <v>[Agropecuária] AM-02 – Volatilidade de preços de commodities (boi gordo, soja, milho)</v>
      </c>
      <c r="H24" s="32" t="n">
        <f aca="false">IFERROR(INDEX($S$6:$S$16,MATCH(1,$W$6:$W$16,0)),"")</f>
        <v>2</v>
      </c>
    </row>
    <row r="25" customFormat="false" ht="30" hidden="false" customHeight="true" outlineLevel="0" collapsed="false">
      <c r="A25" s="15"/>
      <c r="B25" s="27" t="n">
        <f aca="false">IF(C25="","",2)</f>
        <v>2</v>
      </c>
      <c r="C25" s="28" t="str">
        <f aca="false">IFERROR(INDEX($Q$6:$Q$16,MATCH(2,$U$6:$U$16,0)),"")</f>
        <v>[Indústria] OP-04 – Agroindustrialização e verticalização (frigoríficos, laticínios, sucroenergético)</v>
      </c>
      <c r="D25" s="29" t="n">
        <f aca="false">IFERROR(INDEX($S$6:$S$16,MATCH(2,$U$6:$U$16,0)),"")</f>
        <v>3</v>
      </c>
      <c r="F25" s="30" t="n">
        <f aca="false">IF(G25="","",2)</f>
        <v>2</v>
      </c>
      <c r="G25" s="31" t="str">
        <f aca="false">IFERROR(INDEX($Q$6:$Q$16,MATCH(2,$W$6:$W$16,0)),"")</f>
        <v>[Agropecuária] AM-03 – Exigências ambientais de mercados importadores e barreiras ligadas a desmatamento (ex.: EUDR)</v>
      </c>
      <c r="H25" s="32" t="n">
        <f aca="false">IFERROR(INDEX($S$6:$S$16,MATCH(2,$W$6:$W$16,0)),"")</f>
        <v>2</v>
      </c>
    </row>
    <row r="26" customFormat="false" ht="30" hidden="false" customHeight="true" outlineLevel="0" collapsed="false">
      <c r="A26" s="15"/>
      <c r="B26" s="27" t="n">
        <f aca="false">IF(C26="","",3)</f>
        <v>3</v>
      </c>
      <c r="C26" s="28" t="str">
        <f aca="false">IFERROR(INDEX($Q$6:$Q$16,MATCH(3,$U$6:$U$16,0)),"")</f>
        <v>[Estrutura Econômica e Fiscal] OP-06 – Instrumentos de fomento e financiamento (FCO, crédito rural, PSA, mercado de carbono)</v>
      </c>
      <c r="D26" s="29" t="n">
        <f aca="false">IFERROR(INDEX($S$6:$S$16,MATCH(3,$U$6:$U$16,0)),"")</f>
        <v>2</v>
      </c>
      <c r="F26" s="30" t="n">
        <f aca="false">IF(G26="","",3)</f>
        <v>3</v>
      </c>
      <c r="G26" s="31" t="str">
        <f aca="false">IFERROR(INDEX($Q$6:$Q$16,MATCH(3,$W$6:$W$16,0)),"")</f>
        <v>[Estrutura Econômica e Fiscal] AM-04 – Transição da Reforma Tributária (IBS/CBS) e efeitos sobre a repartição de receitas municipais</v>
      </c>
      <c r="H26" s="32" t="n">
        <f aca="false">IFERROR(INDEX($S$6:$S$16,MATCH(3,$W$6:$W$16,0)),"")</f>
        <v>2</v>
      </c>
    </row>
    <row r="27" customFormat="false" ht="30" hidden="false" customHeight="true" outlineLevel="0" collapsed="false">
      <c r="A27" s="15"/>
      <c r="B27" s="27" t="str">
        <f aca="false">IF(C27="","",4)</f>
        <v/>
      </c>
      <c r="C27" s="28" t="str">
        <f aca="false">IFERROR(INDEX($Q$6:$Q$16,MATCH(4,$U$6:$U$16,0)),"")</f>
        <v/>
      </c>
      <c r="D27" s="29" t="str">
        <f aca="false">IFERROR(INDEX($S$6:$S$16,MATCH(4,$U$6:$U$16,0)),"")</f>
        <v/>
      </c>
      <c r="F27" s="30" t="n">
        <f aca="false">IF(G27="","",4)</f>
        <v>4</v>
      </c>
      <c r="G27" s="31" t="str">
        <f aca="false">IFERROR(INDEX($Q$6:$Q$16,MATCH(4,$W$6:$W$16,0)),"")</f>
        <v>[Comércio e Serviços] AM-05 – Polarização regional por centros maiores (evasão de consumo, serviços e mão de obra)</v>
      </c>
      <c r="H27" s="32" t="n">
        <f aca="false">IFERROR(INDEX($S$6:$S$16,MATCH(4,$W$6:$W$16,0)),"")</f>
        <v>2</v>
      </c>
    </row>
    <row r="28" customFormat="false" ht="30" hidden="false" customHeight="true" outlineLevel="0" collapsed="false">
      <c r="A28" s="15"/>
      <c r="B28" s="27" t="str">
        <f aca="false">IF(C28="","",5)</f>
        <v/>
      </c>
      <c r="C28" s="28" t="str">
        <f aca="false">IFERROR(INDEX($Q$6:$Q$16,MATCH(5,$U$6:$U$16,0)),"")</f>
        <v/>
      </c>
      <c r="D28" s="29" t="str">
        <f aca="false">IFERROR(INDEX($S$6:$S$16,MATCH(5,$U$6:$U$16,0)),"")</f>
        <v/>
      </c>
      <c r="F28" s="30" t="str">
        <f aca="false">IF(G28="","",5)</f>
        <v/>
      </c>
      <c r="G28" s="31" t="str">
        <f aca="false">IFERROR(INDEX($Q$6:$Q$16,MATCH(5,$W$6:$W$16,0)),"")</f>
        <v/>
      </c>
      <c r="H28" s="32" t="str">
        <f aca="false">IFERROR(INDEX($S$6:$S$16,MATCH(5,$W$6:$W$16,0)),"")</f>
        <v/>
      </c>
    </row>
    <row r="29" customFormat="false" ht="30" hidden="false" customHeight="true" outlineLevel="0" collapsed="false">
      <c r="A29" s="15"/>
      <c r="B29" s="27" t="str">
        <f aca="false">IF(C29="","",6)</f>
        <v/>
      </c>
      <c r="C29" s="28" t="str">
        <f aca="false">IFERROR(INDEX($Q$6:$Q$16,MATCH(6,$U$6:$U$16,0)),"")</f>
        <v/>
      </c>
      <c r="D29" s="29" t="str">
        <f aca="false">IFERROR(INDEX($S$6:$S$16,MATCH(6,$U$6:$U$16,0)),"")</f>
        <v/>
      </c>
      <c r="F29" s="30" t="str">
        <f aca="false">IF(G29="","",6)</f>
        <v/>
      </c>
      <c r="G29" s="31" t="str">
        <f aca="false">IFERROR(INDEX($Q$6:$Q$16,MATCH(6,$W$6:$W$16,0)),"")</f>
        <v/>
      </c>
      <c r="H29" s="32" t="str">
        <f aca="false">IFERROR(INDEX($S$6:$S$16,MATCH(6,$W$6:$W$16,0)),"")</f>
        <v/>
      </c>
    </row>
    <row r="30" customFormat="false" ht="30" hidden="false" customHeight="true" outlineLevel="0" collapsed="false">
      <c r="A30" s="15"/>
      <c r="B30" s="27" t="str">
        <f aca="false">IF(C30="","",7)</f>
        <v/>
      </c>
      <c r="C30" s="28" t="str">
        <f aca="false">IFERROR(INDEX($Q$6:$Q$16,MATCH(7,$U$6:$U$16,0)),"")</f>
        <v/>
      </c>
      <c r="D30" s="29" t="str">
        <f aca="false">IFERROR(INDEX($S$6:$S$16,MATCH(7,$U$6:$U$16,0)),"")</f>
        <v/>
      </c>
      <c r="F30" s="30" t="str">
        <f aca="false">IF(G30="","",7)</f>
        <v/>
      </c>
      <c r="G30" s="31" t="str">
        <f aca="false">IFERROR(INDEX($Q$6:$Q$16,MATCH(7,$W$6:$W$16,0)),"")</f>
        <v/>
      </c>
      <c r="H30" s="32" t="str">
        <f aca="false">IFERROR(INDEX($S$6:$S$16,MATCH(7,$W$6:$W$16,0)),"")</f>
        <v/>
      </c>
    </row>
    <row r="31" customFormat="false" ht="30" hidden="false" customHeight="true" outlineLevel="0" collapsed="false">
      <c r="A31" s="15"/>
      <c r="B31" s="27" t="str">
        <f aca="false">IF(C31="","",8)</f>
        <v/>
      </c>
      <c r="C31" s="28" t="str">
        <f aca="false">IFERROR(INDEX($Q$6:$Q$16,MATCH(8,$U$6:$U$16,0)),"")</f>
        <v/>
      </c>
      <c r="D31" s="29" t="str">
        <f aca="false">IFERROR(INDEX($S$6:$S$16,MATCH(8,$U$6:$U$16,0)),"")</f>
        <v/>
      </c>
      <c r="F31" s="30" t="str">
        <f aca="false">IF(G31="","",8)</f>
        <v/>
      </c>
      <c r="G31" s="31" t="str">
        <f aca="false">IFERROR(INDEX($Q$6:$Q$16,MATCH(8,$W$6:$W$16,0)),"")</f>
        <v/>
      </c>
      <c r="H31" s="32" t="str">
        <f aca="false">IFERROR(INDEX($S$6:$S$16,MATCH(8,$W$6:$W$16,0)),"")</f>
        <v/>
      </c>
    </row>
    <row r="32" customFormat="false" ht="30" hidden="false" customHeight="true" outlineLevel="0" collapsed="false">
      <c r="A32" s="15"/>
      <c r="B32" s="27" t="str">
        <f aca="false">IF(C32="","",9)</f>
        <v/>
      </c>
      <c r="C32" s="28" t="str">
        <f aca="false">IFERROR(INDEX($Q$6:$Q$16,MATCH(9,$U$6:$U$16,0)),"")</f>
        <v/>
      </c>
      <c r="D32" s="29" t="str">
        <f aca="false">IFERROR(INDEX($S$6:$S$16,MATCH(9,$U$6:$U$16,0)),"")</f>
        <v/>
      </c>
      <c r="F32" s="30" t="str">
        <f aca="false">IF(G32="","",9)</f>
        <v/>
      </c>
      <c r="G32" s="31" t="str">
        <f aca="false">IFERROR(INDEX($Q$6:$Q$16,MATCH(9,$W$6:$W$16,0)),"")</f>
        <v/>
      </c>
      <c r="H32" s="32" t="str">
        <f aca="false">IFERROR(INDEX($S$6:$S$16,MATCH(9,$W$6:$W$16,0)),"")</f>
        <v/>
      </c>
    </row>
    <row r="33" customFormat="false" ht="30" hidden="false" customHeight="true" outlineLevel="0" collapsed="false">
      <c r="A33" s="15"/>
      <c r="B33" s="27" t="str">
        <f aca="false">IF(C33="","",10)</f>
        <v/>
      </c>
      <c r="C33" s="28" t="str">
        <f aca="false">IFERROR(INDEX($Q$6:$Q$16,MATCH(10,$U$6:$U$16,0)),"")</f>
        <v/>
      </c>
      <c r="D33" s="29" t="str">
        <f aca="false">IFERROR(INDEX($S$6:$S$16,MATCH(10,$U$6:$U$16,0)),"")</f>
        <v/>
      </c>
      <c r="F33" s="30" t="str">
        <f aca="false">IF(G33="","",10)</f>
        <v/>
      </c>
      <c r="G33" s="31" t="str">
        <f aca="false">IFERROR(INDEX($Q$6:$Q$16,MATCH(10,$W$6:$W$16,0)),"")</f>
        <v/>
      </c>
      <c r="H33" s="32" t="str">
        <f aca="false">IFERROR(INDEX($S$6:$S$16,MATCH(10,$W$6:$W$16,0)),"")</f>
        <v/>
      </c>
    </row>
    <row r="34" customFormat="false" ht="30" hidden="false" customHeight="true" outlineLevel="0" collapsed="false">
      <c r="A34" s="15"/>
      <c r="B34" s="27" t="str">
        <f aca="false">IF(C34="","",11)</f>
        <v/>
      </c>
      <c r="C34" s="28" t="str">
        <f aca="false">IFERROR(INDEX($Q$6:$Q$16,MATCH(11,$U$6:$U$16,0)),"")</f>
        <v/>
      </c>
      <c r="D34" s="29" t="str">
        <f aca="false">IFERROR(INDEX($S$6:$S$16,MATCH(11,$U$6:$U$16,0)),"")</f>
        <v/>
      </c>
      <c r="F34" s="30" t="str">
        <f aca="false">IF(G34="","",11)</f>
        <v/>
      </c>
      <c r="G34" s="31" t="str">
        <f aca="false">IFERROR(INDEX($Q$6:$Q$16,MATCH(11,$W$6:$W$16,0)),"")</f>
        <v/>
      </c>
      <c r="H34" s="32" t="str">
        <f aca="false">IFERROR(INDEX($S$6:$S$16,MATCH(11,$W$6:$W$16,0)),"")</f>
        <v/>
      </c>
    </row>
    <row r="35" customFormat="false" ht="30" hidden="false" customHeight="true" outlineLevel="0" collapsed="false">
      <c r="A35" s="15"/>
      <c r="B35" s="27" t="str">
        <f aca="false">IF(C35="","",12)</f>
        <v/>
      </c>
      <c r="C35" s="28" t="str">
        <f aca="false">IFERROR(INDEX($Q$6:$Q$16,MATCH(12,$U$6:$U$16,0)),"")</f>
        <v/>
      </c>
      <c r="D35" s="29" t="str">
        <f aca="false">IFERROR(INDEX($S$6:$S$16,MATCH(12,$U$6:$U$16,0)),"")</f>
        <v/>
      </c>
      <c r="F35" s="30" t="str">
        <f aca="false">IF(G35="","",12)</f>
        <v/>
      </c>
      <c r="G35" s="31" t="str">
        <f aca="false">IFERROR(INDEX($Q$6:$Q$16,MATCH(12,$W$6:$W$16,0)),"")</f>
        <v/>
      </c>
      <c r="H35" s="32" t="str">
        <f aca="false">IFERROR(INDEX($S$6:$S$16,MATCH(12,$W$6:$W$16,0)),"")</f>
        <v/>
      </c>
    </row>
    <row r="36" customFormat="false" ht="15" hidden="false" customHeight="true" outlineLevel="0" collapsed="false">
      <c r="C36" s="22" t="str">
        <f aca="false">IF(SUM($T$6:$T$16)&gt;12,"+ "&amp;(SUM($T$6:$T$16)-12)&amp;" item(ns) não exibido(s)","")</f>
        <v/>
      </c>
      <c r="G36" s="22" t="str">
        <f aca="false">IF(SUM($V$6:$V$16)&gt;12,"+ "&amp;(SUM($V$6:$V$16)-12)&amp;" item(ns) não exibido(s)","")</f>
        <v/>
      </c>
    </row>
    <row r="38" customFormat="false" ht="15" hidden="false" customHeight="true" outlineLevel="0" collapsed="false">
      <c r="B38" s="33" t="s">
        <v>329</v>
      </c>
    </row>
  </sheetData>
  <mergeCells count="8">
    <mergeCell ref="B5:D5"/>
    <mergeCell ref="F5:H5"/>
    <mergeCell ref="B6:D6"/>
    <mergeCell ref="F6:H6"/>
    <mergeCell ref="A8:A19"/>
    <mergeCell ref="B22:D22"/>
    <mergeCell ref="F22:H22"/>
    <mergeCell ref="A24:A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W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"/>
    <col collapsed="false" customWidth="true" hidden="false" outlineLevel="0" max="3" min="3" style="1" width="55"/>
    <col collapsed="false" customWidth="true" hidden="false" outlineLevel="0" max="4" min="4" style="1" width="12"/>
    <col collapsed="false" customWidth="true" hidden="false" outlineLevel="0" max="5" min="5" style="1" width="2"/>
    <col collapsed="false" customWidth="true" hidden="false" outlineLevel="0" max="6" min="6" style="1" width="5"/>
    <col collapsed="false" customWidth="true" hidden="false" outlineLevel="0" max="7" min="7" style="1" width="55"/>
    <col collapsed="false" customWidth="true" hidden="false" outlineLevel="0" max="8" min="8" style="1" width="12"/>
    <col collapsed="false" customWidth="true" hidden="true" outlineLevel="0" max="23" min="11" style="1" width="13"/>
  </cols>
  <sheetData>
    <row r="1" customFormat="false" ht="17.25" hidden="false" customHeight="true" outlineLevel="0" collapsed="false">
      <c r="B1" s="91" t="s">
        <v>336</v>
      </c>
    </row>
    <row r="2" customFormat="false" ht="15" hidden="false" customHeight="true" outlineLevel="0" collapsed="false">
      <c r="B2" s="9" t="s">
        <v>328</v>
      </c>
    </row>
    <row r="3" customFormat="false" ht="15" hidden="false" customHeight="true" outlineLevel="0" collapsed="false">
      <c r="B3" s="92" t="str">
        <f aca="false">"Indicadores internos com dado: "&amp;(COUNTA(L6:L21)-COUNTBLANK(L6:L21))&amp;" de 16  |  Neutros: "&amp;COUNTIF(L6:L21,"Neutro")&amp;"  |  Fatores externos pontuados: "&amp;COUNT(S6:S16)&amp;" de 11"</f>
        <v>Indicadores internos com dado: 14 de 16  |  Neutros: 4  |  Fatores externos pontuados: 11 de 11</v>
      </c>
    </row>
    <row r="5" customFormat="false" ht="15" hidden="false" customHeight="true" outlineLevel="0" collapsed="false">
      <c r="B5" s="10" t="s">
        <v>27</v>
      </c>
      <c r="C5" s="10"/>
      <c r="D5" s="10"/>
      <c r="F5" s="10" t="s">
        <v>28</v>
      </c>
      <c r="G5" s="10"/>
      <c r="H5" s="10"/>
    </row>
    <row r="6" customFormat="false" ht="15" hidden="false" customHeight="true" outlineLevel="0" collapsed="false">
      <c r="B6" s="11" t="str">
        <f aca="false">"FORÇAS (S) — "&amp;COUNTIF($L$6:$L$21,"Força")&amp;" item(ns)"</f>
        <v>FORÇAS (S) — 2 item(ns)</v>
      </c>
      <c r="C6" s="11"/>
      <c r="D6" s="11"/>
      <c r="F6" s="12" t="str">
        <f aca="false">"FRAQUEZAS (W) — "&amp;COUNTIF($L$6:$L$21,"Fraqueza")&amp;" item(ns)"</f>
        <v>FRAQUEZAS (W) — 8 item(ns)</v>
      </c>
      <c r="G6" s="12"/>
      <c r="H6" s="12"/>
      <c r="K6" s="1" t="str">
        <f aca="false">Aux!B6</f>
        <v>[Agropecuária] AGR-01 – Quociente locacional do VAB agropecuário (base MT) (índice)</v>
      </c>
      <c r="L6" s="1" t="str">
        <f aca="false">'Indicadores (F-W)'!AC6</f>
        <v>Fraqueza</v>
      </c>
      <c r="M6" s="87" t="n">
        <f aca="false">IF('Indicadores (F-W)'!AB6="","",'Indicadores (F-W)'!AB6)</f>
        <v>0.416</v>
      </c>
      <c r="N6" s="1" t="str">
        <f aca="false">IF(L6="Força",COUNTIF(L$6:L6,"Força"),"")</f>
        <v/>
      </c>
      <c r="O6" s="1" t="n">
        <f aca="false">IF(L6="Fraqueza",COUNTIF(L$6:L6,"Fraqueza"),"")</f>
        <v>1</v>
      </c>
      <c r="Q6" s="1" t="str">
        <f aca="false">Aux!I6</f>
        <v>[Agropecuária] OP-01 – Demanda externa por carne bovina e proteína animal</v>
      </c>
      <c r="R6" s="1" t="str">
        <f aca="false">Aux!J6</f>
        <v>Oportunidade</v>
      </c>
      <c r="S6" s="1" t="n">
        <f aca="false">IF('Fatores Externos (O-A)'!M6="","",'Fatores Externos (O-A)'!M6)</f>
        <v>2</v>
      </c>
      <c r="T6" s="1" t="n">
        <f aca="false">IF(AND(R6="Oportunidade",ISNUMBER(S6)),IF(S6&gt;=Parâmetros!$B$5,1,0),0)</f>
        <v>1</v>
      </c>
      <c r="U6" s="1" t="n">
        <f aca="false">IF(T6=1,SUM(T$6:T6),"")</f>
        <v>1</v>
      </c>
      <c r="V6" s="1" t="n">
        <f aca="false">IF(AND(R6="Ameaça",ISNUMBER(S6)),IF(S6&gt;=Parâmetros!$B$5,1,0),0)</f>
        <v>0</v>
      </c>
      <c r="W6" s="1" t="str">
        <f aca="false">IF(V6=1,SUM(V$6:V6),"")</f>
        <v/>
      </c>
    </row>
    <row r="7" customFormat="false" ht="15" hidden="false" customHeight="true" outlineLevel="0" collapsed="false">
      <c r="B7" s="13" t="s">
        <v>29</v>
      </c>
      <c r="C7" s="13" t="s">
        <v>30</v>
      </c>
      <c r="D7" s="13" t="s">
        <v>31</v>
      </c>
      <c r="F7" s="14" t="s">
        <v>29</v>
      </c>
      <c r="G7" s="14" t="s">
        <v>30</v>
      </c>
      <c r="H7" s="14" t="s">
        <v>31</v>
      </c>
      <c r="K7" s="1" t="str">
        <f aca="false">Aux!B7</f>
        <v>[Agropecuária] AGR-02 – Valor da produção das lavouras por área colhida (R$/ha)</v>
      </c>
      <c r="L7" s="1" t="str">
        <f aca="false">'Indicadores (F-W)'!AC7</f>
        <v>Força</v>
      </c>
      <c r="M7" s="88" t="n">
        <f aca="false">IF('Indicadores (F-W)'!AB7="","",'Indicadores (F-W)'!AB7)</f>
        <v>10166.09</v>
      </c>
      <c r="N7" s="1" t="n">
        <f aca="false">IF(L7="Força",COUNTIF(L$6:L7,"Força"),"")</f>
        <v>1</v>
      </c>
      <c r="O7" s="1" t="str">
        <f aca="false">IF(L7="Fraqueza",COUNTIF(L$6:L7,"Fraqueza"),"")</f>
        <v/>
      </c>
      <c r="Q7" s="1" t="str">
        <f aca="false">Aux!I7</f>
        <v>[Agropecuária] OP-02 – Mercados para produtos diferenciados e certificados (carne sustentável/orgânica, origem Pantanal)</v>
      </c>
      <c r="R7" s="1" t="str">
        <f aca="false">Aux!J7</f>
        <v>Oportunidade</v>
      </c>
      <c r="S7" s="1" t="n">
        <f aca="false">IF('Fatores Externos (O-A)'!M7="","",'Fatores Externos (O-A)'!M7)</f>
        <v>1</v>
      </c>
      <c r="T7" s="1" t="n">
        <f aca="false">IF(AND(R7="Oportunidade",ISNUMBER(S7)),IF(S7&gt;=Parâmetros!$B$5,1,0),0)</f>
        <v>0</v>
      </c>
      <c r="U7" s="1" t="str">
        <f aca="false">IF(T7=1,SUM(T$6:T7),"")</f>
        <v/>
      </c>
      <c r="V7" s="1" t="n">
        <f aca="false">IF(AND(R7="Ameaça",ISNUMBER(S7)),IF(S7&gt;=Parâmetros!$B$5,1,0),0)</f>
        <v>0</v>
      </c>
      <c r="W7" s="1" t="str">
        <f aca="false">IF(V7=1,SUM(V$6:V7),"")</f>
        <v/>
      </c>
    </row>
    <row r="8" customFormat="false" ht="30" hidden="false" customHeight="true" outlineLevel="0" collapsed="false">
      <c r="A8" s="15" t="s">
        <v>32</v>
      </c>
      <c r="B8" s="16" t="n">
        <f aca="false">IF(C8="","",1)</f>
        <v>1</v>
      </c>
      <c r="C8" s="17" t="str">
        <f aca="false">IFERROR(INDEX($K$6:$K$21,MATCH(1,$N$6:$N$21,0)),"")</f>
        <v>[Agropecuária] AGR-02 – Valor da produção das lavouras por área colhida (R$/ha)</v>
      </c>
      <c r="D8" s="18" t="n">
        <f aca="false">IFERROR(INDEX($M$6:$M$21,MATCH(1,$N$6:$N$21,0)),"")</f>
        <v>10166.09</v>
      </c>
      <c r="F8" s="19" t="n">
        <f aca="false">IF(G8="","",1)</f>
        <v>1</v>
      </c>
      <c r="G8" s="20" t="str">
        <f aca="false">IFERROR(INDEX($K$6:$K$21,MATCH(1,$O$6:$O$21,0)),"")</f>
        <v>[Agropecuária] AGR-01 – Quociente locacional do VAB agropecuário (base MT) (índice)</v>
      </c>
      <c r="H8" s="21" t="n">
        <f aca="false">IFERROR(INDEX($M$6:$M$21,MATCH(1,$O$6:$O$21,0)),"")</f>
        <v>0.416</v>
      </c>
      <c r="K8" s="1" t="str">
        <f aca="false">Aux!B8</f>
        <v>[Agropecuária] AGR-03 – Variação do efetivo bovino em 5 anos (%)</v>
      </c>
      <c r="L8" s="1" t="str">
        <f aca="false">'Indicadores (F-W)'!AC8</f>
        <v>Fraqueza</v>
      </c>
      <c r="M8" s="88" t="n">
        <f aca="false">IF('Indicadores (F-W)'!AB8="","",'Indicadores (F-W)'!AB8)</f>
        <v>-2.58</v>
      </c>
      <c r="N8" s="1" t="str">
        <f aca="false">IF(L8="Força",COUNTIF(L$6:L8,"Força"),"")</f>
        <v/>
      </c>
      <c r="O8" s="1" t="n">
        <f aca="false">IF(L8="Fraqueza",COUNTIF(L$6:L8,"Fraqueza"),"")</f>
        <v>2</v>
      </c>
      <c r="Q8" s="1" t="str">
        <f aca="false">Aux!I8</f>
        <v>[Comércio e Serviços] OP-03 – Expansão do turismo de natureza, pesca esportiva e ecoturismo</v>
      </c>
      <c r="R8" s="1" t="str">
        <f aca="false">Aux!J8</f>
        <v>Oportunidade</v>
      </c>
      <c r="S8" s="1" t="n">
        <f aca="false">IF('Fatores Externos (O-A)'!M8="","",'Fatores Externos (O-A)'!M8)</f>
        <v>1</v>
      </c>
      <c r="T8" s="1" t="n">
        <f aca="false">IF(AND(R8="Oportunidade",ISNUMBER(S8)),IF(S8&gt;=Parâmetros!$B$5,1,0),0)</f>
        <v>0</v>
      </c>
      <c r="U8" s="1" t="str">
        <f aca="false">IF(T8=1,SUM(T$6:T8),"")</f>
        <v/>
      </c>
      <c r="V8" s="1" t="n">
        <f aca="false">IF(AND(R8="Ameaça",ISNUMBER(S8)),IF(S8&gt;=Parâmetros!$B$5,1,0),0)</f>
        <v>0</v>
      </c>
      <c r="W8" s="1" t="str">
        <f aca="false">IF(V8=1,SUM(V$6:V8),"")</f>
        <v/>
      </c>
    </row>
    <row r="9" customFormat="false" ht="30" hidden="false" customHeight="true" outlineLevel="0" collapsed="false">
      <c r="A9" s="15"/>
      <c r="B9" s="16" t="n">
        <f aca="false">IF(C9="","",2)</f>
        <v>2</v>
      </c>
      <c r="C9" s="17" t="str">
        <f aca="false">IFERROR(INDEX($K$6:$K$21,MATCH(2,$N$6:$N$21,0)),"")</f>
        <v>[Indústria] IND-01 – Quociente locacional do VAB industrial (base MT) (índice)</v>
      </c>
      <c r="D9" s="18" t="n">
        <f aca="false">IFERROR(INDEX($M$6:$M$21,MATCH(2,$N$6:$N$21,0)),"")</f>
        <v>1.2112</v>
      </c>
      <c r="F9" s="19" t="n">
        <f aca="false">IF(G9="","",2)</f>
        <v>2</v>
      </c>
      <c r="G9" s="20" t="str">
        <f aca="false">IFERROR(INDEX($K$6:$K$21,MATCH(2,$O$6:$O$21,0)),"")</f>
        <v>[Agropecuária] AGR-03 – Variação do efetivo bovino em 5 anos (%)</v>
      </c>
      <c r="H9" s="21" t="n">
        <f aca="false">IFERROR(INDEX($M$6:$M$21,MATCH(2,$O$6:$O$21,0)),"")</f>
        <v>-2.58</v>
      </c>
      <c r="K9" s="1" t="str">
        <f aca="false">Aux!B9</f>
        <v>[Agropecuária] AGR-04 – Estabelecimentos agropecuários que receberam assistência técnica (%)</v>
      </c>
      <c r="L9" s="1" t="str">
        <f aca="false">'Indicadores (F-W)'!AC9</f>
        <v/>
      </c>
      <c r="M9" s="1" t="str">
        <f aca="false">IF('Indicadores (F-W)'!AB9="","",'Indicadores (F-W)'!AB9)</f>
        <v/>
      </c>
      <c r="N9" s="1" t="str">
        <f aca="false">IF(L9="Força",COUNTIF(L$6:L9,"Força"),"")</f>
        <v/>
      </c>
      <c r="O9" s="1" t="str">
        <f aca="false">IF(L9="Fraqueza",COUNTIF(L$6:L9,"Fraqueza"),"")</f>
        <v/>
      </c>
      <c r="Q9" s="1" t="str">
        <f aca="false">Aux!I9</f>
        <v>[Indústria] OP-04 – Agroindustrialização e verticalização (frigoríficos, laticínios, sucroenergético)</v>
      </c>
      <c r="R9" s="1" t="str">
        <f aca="false">Aux!J9</f>
        <v>Oportunidade</v>
      </c>
      <c r="S9" s="1" t="n">
        <f aca="false">IF('Fatores Externos (O-A)'!M9="","",'Fatores Externos (O-A)'!M9)</f>
        <v>3</v>
      </c>
      <c r="T9" s="1" t="n">
        <f aca="false">IF(AND(R9="Oportunidade",ISNUMBER(S9)),IF(S9&gt;=Parâmetros!$B$5,1,0),0)</f>
        <v>1</v>
      </c>
      <c r="U9" s="1" t="n">
        <f aca="false">IF(T9=1,SUM(T$6:T9),"")</f>
        <v>2</v>
      </c>
      <c r="V9" s="1" t="n">
        <f aca="false">IF(AND(R9="Ameaça",ISNUMBER(S9)),IF(S9&gt;=Parâmetros!$B$5,1,0),0)</f>
        <v>0</v>
      </c>
      <c r="W9" s="1" t="str">
        <f aca="false">IF(V9=1,SUM(V$6:V9),"")</f>
        <v/>
      </c>
    </row>
    <row r="10" customFormat="false" ht="30" hidden="false" customHeight="true" outlineLevel="0" collapsed="false">
      <c r="A10" s="15"/>
      <c r="B10" s="16" t="str">
        <f aca="false">IF(C10="","",3)</f>
        <v/>
      </c>
      <c r="C10" s="17" t="str">
        <f aca="false">IFERROR(INDEX($K$6:$K$21,MATCH(3,$N$6:$N$21,0)),"")</f>
        <v/>
      </c>
      <c r="D10" s="18" t="str">
        <f aca="false">IFERROR(INDEX($M$6:$M$21,MATCH(3,$N$6:$N$21,0)),"")</f>
        <v/>
      </c>
      <c r="F10" s="19" t="n">
        <f aca="false">IF(G10="","",3)</f>
        <v>3</v>
      </c>
      <c r="G10" s="20" t="str">
        <f aca="false">IFERROR(INDEX($K$6:$K$21,MATCH(3,$O$6:$O$21,0)),"")</f>
        <v>[Indústria] IND-02 – Variação do emprego formal na indústria em 5 anos (%)</v>
      </c>
      <c r="H10" s="21" t="n">
        <f aca="false">IFERROR(INDEX($M$6:$M$21,MATCH(3,$O$6:$O$21,0)),"")</f>
        <v>1.57</v>
      </c>
      <c r="K10" s="1" t="str">
        <f aca="false">Aux!B10</f>
        <v>[Agropecuária] AGR-05 – Diversificação agrícola (1 − HHI do valor da produção das lavouras) (índice 0–1)</v>
      </c>
      <c r="L10" s="1" t="str">
        <f aca="false">'Indicadores (F-W)'!AC10</f>
        <v/>
      </c>
      <c r="M10" s="1" t="str">
        <f aca="false">IF('Indicadores (F-W)'!AB10="","",'Indicadores (F-W)'!AB10)</f>
        <v/>
      </c>
      <c r="N10" s="1" t="str">
        <f aca="false">IF(L10="Força",COUNTIF(L$6:L10,"Força"),"")</f>
        <v/>
      </c>
      <c r="O10" s="1" t="str">
        <f aca="false">IF(L10="Fraqueza",COUNTIF(L$6:L10,"Fraqueza"),"")</f>
        <v/>
      </c>
      <c r="Q10" s="1" t="str">
        <f aca="false">Aux!I10</f>
        <v>[Estrutura Econômica e Fiscal] OP-05 – Corredores logísticos (rodovias federais, ferrovia, hidrovia do Paraguai)</v>
      </c>
      <c r="R10" s="1" t="str">
        <f aca="false">Aux!J10</f>
        <v>Oportunidade</v>
      </c>
      <c r="S10" s="1" t="n">
        <f aca="false">IF('Fatores Externos (O-A)'!M10="","",'Fatores Externos (O-A)'!M10)</f>
        <v>2</v>
      </c>
      <c r="T10" s="1" t="n">
        <f aca="false">IF(AND(R10="Oportunidade",ISNUMBER(S10)),IF(S10&gt;=Parâmetros!$B$5,1,0),0)</f>
        <v>1</v>
      </c>
      <c r="U10" s="1" t="n">
        <f aca="false">IF(T10=1,SUM(T$6:T10),"")</f>
        <v>3</v>
      </c>
      <c r="V10" s="1" t="n">
        <f aca="false">IF(AND(R10="Ameaça",ISNUMBER(S10)),IF(S10&gt;=Parâmetros!$B$5,1,0),0)</f>
        <v>0</v>
      </c>
      <c r="W10" s="1" t="str">
        <f aca="false">IF(V10=1,SUM(V$6:V10),"")</f>
        <v/>
      </c>
    </row>
    <row r="11" customFormat="false" ht="30" hidden="false" customHeight="true" outlineLevel="0" collapsed="false">
      <c r="A11" s="15"/>
      <c r="B11" s="16" t="str">
        <f aca="false">IF(C11="","",4)</f>
        <v/>
      </c>
      <c r="C11" s="17" t="str">
        <f aca="false">IFERROR(INDEX($K$6:$K$21,MATCH(4,$N$6:$N$21,0)),"")</f>
        <v/>
      </c>
      <c r="D11" s="18" t="str">
        <f aca="false">IFERROR(INDEX($M$6:$M$21,MATCH(4,$N$6:$N$21,0)),"")</f>
        <v/>
      </c>
      <c r="F11" s="19" t="n">
        <f aca="false">IF(G11="","",4)</f>
        <v>4</v>
      </c>
      <c r="G11" s="20" t="str">
        <f aca="false">IFERROR(INDEX($K$6:$K$21,MATCH(4,$O$6:$O$21,0)),"")</f>
        <v>[Comércio e Serviços] CS-02 – Variação do emprego formal em comércio e serviços em 5 anos (%)</v>
      </c>
      <c r="H11" s="21" t="n">
        <f aca="false">IFERROR(INDEX($M$6:$M$21,MATCH(4,$O$6:$O$21,0)),"")</f>
        <v>14.99</v>
      </c>
      <c r="K11" s="1" t="str">
        <f aca="false">Aux!B11</f>
        <v>[Indústria] IND-01 – Quociente locacional do VAB industrial (base MT) (índice)</v>
      </c>
      <c r="L11" s="1" t="str">
        <f aca="false">'Indicadores (F-W)'!AC11</f>
        <v>Força</v>
      </c>
      <c r="M11" s="87" t="n">
        <f aca="false">IF('Indicadores (F-W)'!AB11="","",'Indicadores (F-W)'!AB11)</f>
        <v>1.2112</v>
      </c>
      <c r="N11" s="1" t="n">
        <f aca="false">IF(L11="Força",COUNTIF(L$6:L11,"Força"),"")</f>
        <v>2</v>
      </c>
      <c r="O11" s="1" t="str">
        <f aca="false">IF(L11="Fraqueza",COUNTIF(L$6:L11,"Fraqueza"),"")</f>
        <v/>
      </c>
      <c r="Q11" s="1" t="str">
        <f aca="false">Aux!I11</f>
        <v>[Estrutura Econômica e Fiscal] OP-06 – Instrumentos de fomento e financiamento (FCO, crédito rural, PSA, mercado de carbono)</v>
      </c>
      <c r="R11" s="1" t="str">
        <f aca="false">Aux!J11</f>
        <v>Oportunidade</v>
      </c>
      <c r="S11" s="1" t="n">
        <f aca="false">IF('Fatores Externos (O-A)'!M11="","",'Fatores Externos (O-A)'!M11)</f>
        <v>2</v>
      </c>
      <c r="T11" s="1" t="n">
        <f aca="false">IF(AND(R11="Oportunidade",ISNUMBER(S11)),IF(S11&gt;=Parâmetros!$B$5,1,0),0)</f>
        <v>1</v>
      </c>
      <c r="U11" s="1" t="n">
        <f aca="false">IF(T11=1,SUM(T$6:T11),"")</f>
        <v>4</v>
      </c>
      <c r="V11" s="1" t="n">
        <f aca="false">IF(AND(R11="Ameaça",ISNUMBER(S11)),IF(S11&gt;=Parâmetros!$B$5,1,0),0)</f>
        <v>0</v>
      </c>
      <c r="W11" s="1" t="str">
        <f aca="false">IF(V11=1,SUM(V$6:V11),"")</f>
        <v/>
      </c>
    </row>
    <row r="12" customFormat="false" ht="30" hidden="false" customHeight="true" outlineLevel="0" collapsed="false">
      <c r="A12" s="15"/>
      <c r="B12" s="16" t="str">
        <f aca="false">IF(C12="","",5)</f>
        <v/>
      </c>
      <c r="C12" s="17" t="str">
        <f aca="false">IFERROR(INDEX($K$6:$K$21,MATCH(5,$N$6:$N$21,0)),"")</f>
        <v/>
      </c>
      <c r="D12" s="18" t="str">
        <f aca="false">IFERROR(INDEX($M$6:$M$21,MATCH(5,$N$6:$N$21,0)),"")</f>
        <v/>
      </c>
      <c r="F12" s="19" t="n">
        <f aca="false">IF(G12="","",5)</f>
        <v>5</v>
      </c>
      <c r="G12" s="20" t="str">
        <f aca="false">IFERROR(INDEX($K$6:$K$21,MATCH(5,$O$6:$O$21,0)),"")</f>
        <v>[Estrutura Econômica e Fiscal] EST-01 – PIB per capita (R$)</v>
      </c>
      <c r="H12" s="21" t="n">
        <f aca="false">IFERROR(INDEX($M$6:$M$21,MATCH(5,$O$6:$O$21,0)),"")</f>
        <v>43433.97</v>
      </c>
      <c r="K12" s="1" t="str">
        <f aca="false">Aux!B12</f>
        <v>[Indústria] IND-02 – Variação do emprego formal na indústria em 5 anos (%)</v>
      </c>
      <c r="L12" s="1" t="str">
        <f aca="false">'Indicadores (F-W)'!AC12</f>
        <v>Fraqueza</v>
      </c>
      <c r="M12" s="88" t="n">
        <f aca="false">IF('Indicadores (F-W)'!AB12="","",'Indicadores (F-W)'!AB12)</f>
        <v>1.57</v>
      </c>
      <c r="N12" s="1" t="str">
        <f aca="false">IF(L12="Força",COUNTIF(L$6:L12,"Força"),"")</f>
        <v/>
      </c>
      <c r="O12" s="1" t="n">
        <f aca="false">IF(L12="Fraqueza",COUNTIF(L$6:L12,"Fraqueza"),"")</f>
        <v>3</v>
      </c>
      <c r="Q12" s="1" t="str">
        <f aca="false">Aux!I12</f>
        <v>[Agropecuária] AM-01 – Eventos climáticos extremos: secas prolongadas e incêndios no Pantanal</v>
      </c>
      <c r="R12" s="1" t="str">
        <f aca="false">Aux!J12</f>
        <v>Ameaça</v>
      </c>
      <c r="S12" s="1" t="n">
        <f aca="false">IF('Fatores Externos (O-A)'!M12="","",'Fatores Externos (O-A)'!M12)</f>
        <v>1</v>
      </c>
      <c r="T12" s="1" t="n">
        <f aca="false">IF(AND(R12="Oportunidade",ISNUMBER(S12)),IF(S12&gt;=Parâmetros!$B$5,1,0),0)</f>
        <v>0</v>
      </c>
      <c r="U12" s="1" t="str">
        <f aca="false">IF(T12=1,SUM(T$6:T12),"")</f>
        <v/>
      </c>
      <c r="V12" s="1" t="n">
        <f aca="false">IF(AND(R12="Ameaça",ISNUMBER(S12)),IF(S12&gt;=Parâmetros!$B$5,1,0),0)</f>
        <v>0</v>
      </c>
      <c r="W12" s="1" t="str">
        <f aca="false">IF(V12=1,SUM(V$6:V12),"")</f>
        <v/>
      </c>
    </row>
    <row r="13" customFormat="false" ht="30" hidden="false" customHeight="true" outlineLevel="0" collapsed="false">
      <c r="A13" s="15"/>
      <c r="B13" s="16" t="str">
        <f aca="false">IF(C13="","",6)</f>
        <v/>
      </c>
      <c r="C13" s="17" t="str">
        <f aca="false">IFERROR(INDEX($K$6:$K$21,MATCH(6,$N$6:$N$21,0)),"")</f>
        <v/>
      </c>
      <c r="D13" s="18" t="str">
        <f aca="false">IFERROR(INDEX($M$6:$M$21,MATCH(6,$N$6:$N$21,0)),"")</f>
        <v/>
      </c>
      <c r="F13" s="19" t="n">
        <f aca="false">IF(G13="","",6)</f>
        <v>6</v>
      </c>
      <c r="G13" s="20" t="str">
        <f aca="false">IFERROR(INDEX($K$6:$K$21,MATCH(6,$O$6:$O$21,0)),"")</f>
        <v>[Estrutura Econômica e Fiscal] EST-02 – Participação da administração pública no VAB total (%)</v>
      </c>
      <c r="H13" s="21" t="n">
        <f aca="false">IFERROR(INDEX($M$6:$M$21,MATCH(6,$O$6:$O$21,0)),"")</f>
        <v>25.62</v>
      </c>
      <c r="K13" s="1" t="str">
        <f aca="false">Aux!B13</f>
        <v>[Indústria] IND-03 – Remuneração média do emprego formal industrial (R$)</v>
      </c>
      <c r="L13" s="1" t="str">
        <f aca="false">'Indicadores (F-W)'!AC13</f>
        <v>Neutro</v>
      </c>
      <c r="M13" s="88" t="n">
        <f aca="false">IF('Indicadores (F-W)'!AB13="","",'Indicadores (F-W)'!AB13)</f>
        <v>2809.72</v>
      </c>
      <c r="N13" s="1" t="str">
        <f aca="false">IF(L13="Força",COUNTIF(L$6:L13,"Força"),"")</f>
        <v/>
      </c>
      <c r="O13" s="1" t="str">
        <f aca="false">IF(L13="Fraqueza",COUNTIF(L$6:L13,"Fraqueza"),"")</f>
        <v/>
      </c>
      <c r="Q13" s="1" t="str">
        <f aca="false">Aux!I13</f>
        <v>[Agropecuária] AM-02 – Volatilidade de preços de commodities (boi gordo, soja, milho)</v>
      </c>
      <c r="R13" s="1" t="str">
        <f aca="false">Aux!J13</f>
        <v>Ameaça</v>
      </c>
      <c r="S13" s="1" t="n">
        <f aca="false">IF('Fatores Externos (O-A)'!M13="","",'Fatores Externos (O-A)'!M13)</f>
        <v>1</v>
      </c>
      <c r="T13" s="1" t="n">
        <f aca="false">IF(AND(R13="Oportunidade",ISNUMBER(S13)),IF(S13&gt;=Parâmetros!$B$5,1,0),0)</f>
        <v>0</v>
      </c>
      <c r="U13" s="1" t="str">
        <f aca="false">IF(T13=1,SUM(T$6:T13),"")</f>
        <v/>
      </c>
      <c r="V13" s="1" t="n">
        <f aca="false">IF(AND(R13="Ameaça",ISNUMBER(S13)),IF(S13&gt;=Parâmetros!$B$5,1,0),0)</f>
        <v>0</v>
      </c>
      <c r="W13" s="1" t="str">
        <f aca="false">IF(V13=1,SUM(V$6:V13),"")</f>
        <v/>
      </c>
    </row>
    <row r="14" customFormat="false" ht="30" hidden="false" customHeight="true" outlineLevel="0" collapsed="false">
      <c r="A14" s="15"/>
      <c r="B14" s="16" t="str">
        <f aca="false">IF(C14="","",7)</f>
        <v/>
      </c>
      <c r="C14" s="17" t="str">
        <f aca="false">IFERROR(INDEX($K$6:$K$21,MATCH(7,$N$6:$N$21,0)),"")</f>
        <v/>
      </c>
      <c r="D14" s="18" t="str">
        <f aca="false">IFERROR(INDEX($M$6:$M$21,MATCH(7,$N$6:$N$21,0)),"")</f>
        <v/>
      </c>
      <c r="F14" s="19" t="n">
        <f aca="false">IF(G14="","",7)</f>
        <v>7</v>
      </c>
      <c r="G14" s="20" t="str">
        <f aca="false">IFERROR(INDEX($K$6:$K$21,MATCH(7,$O$6:$O$21,0)),"")</f>
        <v>[Estrutura Econômica e Fiscal] EST-03 – Vínculos formais por 100 habitantes (vínculos/100 hab.)</v>
      </c>
      <c r="H14" s="21" t="n">
        <f aca="false">IFERROR(INDEX($M$6:$M$21,MATCH(7,$O$6:$O$21,0)),"")</f>
        <v>22.66</v>
      </c>
      <c r="K14" s="1" t="str">
        <f aca="false">Aux!B14</f>
        <v>[Comércio e Serviços] CS-01 – Quociente locacional do VAB de serviços, exceto adm. pública (base MT) (índice)</v>
      </c>
      <c r="L14" s="1" t="str">
        <f aca="false">'Indicadores (F-W)'!AC14</f>
        <v>Neutro</v>
      </c>
      <c r="M14" s="87" t="n">
        <f aca="false">IF('Indicadores (F-W)'!AB14="","",'Indicadores (F-W)'!AB14)</f>
        <v>1.1498</v>
      </c>
      <c r="N14" s="1" t="str">
        <f aca="false">IF(L14="Força",COUNTIF(L$6:L14,"Força"),"")</f>
        <v/>
      </c>
      <c r="O14" s="1" t="str">
        <f aca="false">IF(L14="Fraqueza",COUNTIF(L$6:L14,"Fraqueza"),"")</f>
        <v/>
      </c>
      <c r="Q14" s="1" t="str">
        <f aca="false">Aux!I14</f>
        <v>[Agropecuária] AM-03 – Exigências ambientais de mercados importadores e barreiras ligadas a desmatamento (ex.: EUDR)</v>
      </c>
      <c r="R14" s="1" t="str">
        <f aca="false">Aux!J14</f>
        <v>Ameaça</v>
      </c>
      <c r="S14" s="1" t="n">
        <f aca="false">IF('Fatores Externos (O-A)'!M14="","",'Fatores Externos (O-A)'!M14)</f>
        <v>1</v>
      </c>
      <c r="T14" s="1" t="n">
        <f aca="false">IF(AND(R14="Oportunidade",ISNUMBER(S14)),IF(S14&gt;=Parâmetros!$B$5,1,0),0)</f>
        <v>0</v>
      </c>
      <c r="U14" s="1" t="str">
        <f aca="false">IF(T14=1,SUM(T$6:T14),"")</f>
        <v/>
      </c>
      <c r="V14" s="1" t="n">
        <f aca="false">IF(AND(R14="Ameaça",ISNUMBER(S14)),IF(S14&gt;=Parâmetros!$B$5,1,0),0)</f>
        <v>0</v>
      </c>
      <c r="W14" s="1" t="str">
        <f aca="false">IF(V14=1,SUM(V$6:V14),"")</f>
        <v/>
      </c>
    </row>
    <row r="15" customFormat="false" ht="30" hidden="false" customHeight="true" outlineLevel="0" collapsed="false">
      <c r="A15" s="15"/>
      <c r="B15" s="16" t="str">
        <f aca="false">IF(C15="","",8)</f>
        <v/>
      </c>
      <c r="C15" s="17" t="str">
        <f aca="false">IFERROR(INDEX($K$6:$K$21,MATCH(8,$N$6:$N$21,0)),"")</f>
        <v/>
      </c>
      <c r="D15" s="18" t="str">
        <f aca="false">IFERROR(INDEX($M$6:$M$21,MATCH(8,$N$6:$N$21,0)),"")</f>
        <v/>
      </c>
      <c r="F15" s="19" t="n">
        <f aca="false">IF(G15="","",8)</f>
        <v>8</v>
      </c>
      <c r="G15" s="20" t="str">
        <f aca="false">IFERROR(INDEX($K$6:$K$21,MATCH(8,$O$6:$O$21,0)),"")</f>
        <v>[Estrutura Econômica e Fiscal] EST-05 – Receitas próprias / receita corrente (%)</v>
      </c>
      <c r="H15" s="21" t="n">
        <f aca="false">IFERROR(INDEX($M$6:$M$21,MATCH(8,$O$6:$O$21,0)),"")</f>
        <v>14.35</v>
      </c>
      <c r="K15" s="1" t="str">
        <f aca="false">Aux!B15</f>
        <v>[Comércio e Serviços] CS-02 – Variação do emprego formal em comércio e serviços em 5 anos (%)</v>
      </c>
      <c r="L15" s="1" t="str">
        <f aca="false">'Indicadores (F-W)'!AC15</f>
        <v>Fraqueza</v>
      </c>
      <c r="M15" s="88" t="n">
        <f aca="false">IF('Indicadores (F-W)'!AB15="","",'Indicadores (F-W)'!AB15)</f>
        <v>14.99</v>
      </c>
      <c r="N15" s="1" t="str">
        <f aca="false">IF(L15="Força",COUNTIF(L$6:L15,"Força"),"")</f>
        <v/>
      </c>
      <c r="O15" s="1" t="n">
        <f aca="false">IF(L15="Fraqueza",COUNTIF(L$6:L15,"Fraqueza"),"")</f>
        <v>4</v>
      </c>
      <c r="Q15" s="1" t="str">
        <f aca="false">Aux!I15</f>
        <v>[Estrutura Econômica e Fiscal] AM-04 – Transição da Reforma Tributária (IBS/CBS) e efeitos sobre a repartição de receitas municipais</v>
      </c>
      <c r="R15" s="1" t="str">
        <f aca="false">Aux!J15</f>
        <v>Ameaça</v>
      </c>
      <c r="S15" s="1" t="n">
        <f aca="false">IF('Fatores Externos (O-A)'!M15="","",'Fatores Externos (O-A)'!M15)</f>
        <v>2</v>
      </c>
      <c r="T15" s="1" t="n">
        <f aca="false">IF(AND(R15="Oportunidade",ISNUMBER(S15)),IF(S15&gt;=Parâmetros!$B$5,1,0),0)</f>
        <v>0</v>
      </c>
      <c r="U15" s="1" t="str">
        <f aca="false">IF(T15=1,SUM(T$6:T15),"")</f>
        <v/>
      </c>
      <c r="V15" s="1" t="n">
        <f aca="false">IF(AND(R15="Ameaça",ISNUMBER(S15)),IF(S15&gt;=Parâmetros!$B$5,1,0),0)</f>
        <v>1</v>
      </c>
      <c r="W15" s="1" t="n">
        <f aca="false">IF(V15=1,SUM(V$6:V15),"")</f>
        <v>1</v>
      </c>
    </row>
    <row r="16" customFormat="false" ht="30" hidden="false" customHeight="true" outlineLevel="0" collapsed="false">
      <c r="A16" s="15"/>
      <c r="B16" s="16" t="str">
        <f aca="false">IF(C16="","",9)</f>
        <v/>
      </c>
      <c r="C16" s="17" t="str">
        <f aca="false">IFERROR(INDEX($K$6:$K$21,MATCH(9,$N$6:$N$21,0)),"")</f>
        <v/>
      </c>
      <c r="D16" s="18" t="str">
        <f aca="false">IFERROR(INDEX($M$6:$M$21,MATCH(9,$N$6:$N$21,0)),"")</f>
        <v/>
      </c>
      <c r="F16" s="19" t="str">
        <f aca="false">IF(G16="","",9)</f>
        <v/>
      </c>
      <c r="G16" s="20" t="str">
        <f aca="false">IFERROR(INDEX($K$6:$K$21,MATCH(9,$O$6:$O$21,0)),"")</f>
        <v/>
      </c>
      <c r="H16" s="21" t="str">
        <f aca="false">IFERROR(INDEX($M$6:$M$21,MATCH(9,$O$6:$O$21,0)),"")</f>
        <v/>
      </c>
      <c r="K16" s="1" t="str">
        <f aca="false">Aux!B16</f>
        <v>[Comércio e Serviços] CS-03 – Empresas e outras organizações ativas por mil habitantes (un./mil hab.)</v>
      </c>
      <c r="L16" s="1" t="str">
        <f aca="false">'Indicadores (F-W)'!AC16</f>
        <v>Neutro</v>
      </c>
      <c r="M16" s="88" t="n">
        <f aca="false">IF('Indicadores (F-W)'!AB16="","",'Indicadores (F-W)'!AB16)</f>
        <v>32.17</v>
      </c>
      <c r="N16" s="1" t="str">
        <f aca="false">IF(L16="Força",COUNTIF(L$6:L16,"Força"),"")</f>
        <v/>
      </c>
      <c r="O16" s="1" t="str">
        <f aca="false">IF(L16="Fraqueza",COUNTIF(L$6:L16,"Fraqueza"),"")</f>
        <v/>
      </c>
      <c r="Q16" s="1" t="str">
        <f aca="false">Aux!I16</f>
        <v>[Comércio e Serviços] AM-05 – Polarização regional por centros maiores (evasão de consumo, serviços e mão de obra)</v>
      </c>
      <c r="R16" s="1" t="str">
        <f aca="false">Aux!J16</f>
        <v>Ameaça</v>
      </c>
      <c r="S16" s="1" t="n">
        <f aca="false">IF('Fatores Externos (O-A)'!M16="","",'Fatores Externos (O-A)'!M16)</f>
        <v>1</v>
      </c>
      <c r="T16" s="1" t="n">
        <f aca="false">IF(AND(R16="Oportunidade",ISNUMBER(S16)),IF(S16&gt;=Parâmetros!$B$5,1,0),0)</f>
        <v>0</v>
      </c>
      <c r="U16" s="1" t="str">
        <f aca="false">IF(T16=1,SUM(T$6:T16),"")</f>
        <v/>
      </c>
      <c r="V16" s="1" t="n">
        <f aca="false">IF(AND(R16="Ameaça",ISNUMBER(S16)),IF(S16&gt;=Parâmetros!$B$5,1,0),0)</f>
        <v>0</v>
      </c>
      <c r="W16" s="1" t="str">
        <f aca="false">IF(V16=1,SUM(V$6:V16),"")</f>
        <v/>
      </c>
    </row>
    <row r="17" customFormat="false" ht="30" hidden="false" customHeight="true" outlineLevel="0" collapsed="false">
      <c r="A17" s="15"/>
      <c r="B17" s="16" t="str">
        <f aca="false">IF(C17="","",10)</f>
        <v/>
      </c>
      <c r="C17" s="17" t="str">
        <f aca="false">IFERROR(INDEX($K$6:$K$21,MATCH(10,$N$6:$N$21,0)),"")</f>
        <v/>
      </c>
      <c r="D17" s="18" t="str">
        <f aca="false">IFERROR(INDEX($M$6:$M$21,MATCH(10,$N$6:$N$21,0)),"")</f>
        <v/>
      </c>
      <c r="F17" s="19" t="str">
        <f aca="false">IF(G17="","",10)</f>
        <v/>
      </c>
      <c r="G17" s="20" t="str">
        <f aca="false">IFERROR(INDEX($K$6:$K$21,MATCH(10,$O$6:$O$21,0)),"")</f>
        <v/>
      </c>
      <c r="H17" s="21" t="str">
        <f aca="false">IFERROR(INDEX($M$6:$M$21,MATCH(10,$O$6:$O$21,0)),"")</f>
        <v/>
      </c>
      <c r="K17" s="1" t="str">
        <f aca="false">Aux!B17</f>
        <v>[Estrutura Econômica e Fiscal] EST-01 – PIB per capita (R$)</v>
      </c>
      <c r="L17" s="1" t="str">
        <f aca="false">'Indicadores (F-W)'!AC17</f>
        <v>Fraqueza</v>
      </c>
      <c r="M17" s="89" t="n">
        <f aca="false">IF('Indicadores (F-W)'!AB17="","",'Indicadores (F-W)'!AB17)</f>
        <v>43433.97</v>
      </c>
      <c r="N17" s="1" t="str">
        <f aca="false">IF(L17="Força",COUNTIF(L$6:L17,"Força"),"")</f>
        <v/>
      </c>
      <c r="O17" s="1" t="n">
        <f aca="false">IF(L17="Fraqueza",COUNTIF(L$6:L17,"Fraqueza"),"")</f>
        <v>5</v>
      </c>
    </row>
    <row r="18" customFormat="false" ht="30" hidden="false" customHeight="true" outlineLevel="0" collapsed="false">
      <c r="A18" s="15"/>
      <c r="B18" s="16" t="str">
        <f aca="false">IF(C18="","",11)</f>
        <v/>
      </c>
      <c r="C18" s="17" t="str">
        <f aca="false">IFERROR(INDEX($K$6:$K$21,MATCH(11,$N$6:$N$21,0)),"")</f>
        <v/>
      </c>
      <c r="D18" s="18" t="str">
        <f aca="false">IFERROR(INDEX($M$6:$M$21,MATCH(11,$N$6:$N$21,0)),"")</f>
        <v/>
      </c>
      <c r="F18" s="19" t="str">
        <f aca="false">IF(G18="","",11)</f>
        <v/>
      </c>
      <c r="G18" s="20" t="str">
        <f aca="false">IFERROR(INDEX($K$6:$K$21,MATCH(11,$O$6:$O$21,0)),"")</f>
        <v/>
      </c>
      <c r="H18" s="21" t="str">
        <f aca="false">IFERROR(INDEX($M$6:$M$21,MATCH(11,$O$6:$O$21,0)),"")</f>
        <v/>
      </c>
      <c r="K18" s="1" t="str">
        <f aca="false">Aux!B18</f>
        <v>[Estrutura Econômica e Fiscal] EST-02 – Participação da administração pública no VAB total (%)</v>
      </c>
      <c r="L18" s="1" t="str">
        <f aca="false">'Indicadores (F-W)'!AC18</f>
        <v>Fraqueza</v>
      </c>
      <c r="M18" s="90" t="n">
        <f aca="false">IF('Indicadores (F-W)'!AB18="","",'Indicadores (F-W)'!AB18)</f>
        <v>25.62</v>
      </c>
      <c r="N18" s="1" t="str">
        <f aca="false">IF(L18="Força",COUNTIF(L$6:L18,"Força"),"")</f>
        <v/>
      </c>
      <c r="O18" s="1" t="n">
        <f aca="false">IF(L18="Fraqueza",COUNTIF(L$6:L18,"Fraqueza"),"")</f>
        <v>6</v>
      </c>
    </row>
    <row r="19" customFormat="false" ht="30" hidden="false" customHeight="true" outlineLevel="0" collapsed="false">
      <c r="A19" s="15"/>
      <c r="B19" s="16" t="str">
        <f aca="false">IF(C19="","",12)</f>
        <v/>
      </c>
      <c r="C19" s="17" t="str">
        <f aca="false">IFERROR(INDEX($K$6:$K$21,MATCH(12,$N$6:$N$21,0)),"")</f>
        <v/>
      </c>
      <c r="D19" s="18" t="str">
        <f aca="false">IFERROR(INDEX($M$6:$M$21,MATCH(12,$N$6:$N$21,0)),"")</f>
        <v/>
      </c>
      <c r="F19" s="19" t="str">
        <f aca="false">IF(G19="","",12)</f>
        <v/>
      </c>
      <c r="G19" s="20" t="str">
        <f aca="false">IFERROR(INDEX($K$6:$K$21,MATCH(12,$O$6:$O$21,0)),"")</f>
        <v/>
      </c>
      <c r="H19" s="21" t="str">
        <f aca="false">IFERROR(INDEX($M$6:$M$21,MATCH(12,$O$6:$O$21,0)),"")</f>
        <v/>
      </c>
      <c r="K19" s="1" t="str">
        <f aca="false">Aux!B19</f>
        <v>[Estrutura Econômica e Fiscal] EST-03 – Vínculos formais por 100 habitantes (vínculos/100 hab.)</v>
      </c>
      <c r="L19" s="1" t="str">
        <f aca="false">'Indicadores (F-W)'!AC19</f>
        <v>Fraqueza</v>
      </c>
      <c r="M19" s="88" t="n">
        <f aca="false">IF('Indicadores (F-W)'!AB19="","",'Indicadores (F-W)'!AB19)</f>
        <v>22.66</v>
      </c>
      <c r="N19" s="1" t="str">
        <f aca="false">IF(L19="Força",COUNTIF(L$6:L19,"Força"),"")</f>
        <v/>
      </c>
      <c r="O19" s="1" t="n">
        <f aca="false">IF(L19="Fraqueza",COUNTIF(L$6:L19,"Fraqueza"),"")</f>
        <v>7</v>
      </c>
    </row>
    <row r="20" customFormat="false" ht="15" hidden="false" customHeight="true" outlineLevel="0" collapsed="false">
      <c r="C20" s="22" t="str">
        <f aca="false">IF(COUNTIF($L$6:$L$21,"Força")&gt;12,"+ "&amp;(COUNTIF($L$6:$L$21,"Força")-12)&amp;" item(ns) não exibido(s)","")</f>
        <v/>
      </c>
      <c r="G20" s="22" t="str">
        <f aca="false">IF(COUNTIF($L$6:$L$21,"Fraqueza")&gt;12,"+ "&amp;(COUNTIF($L$6:$L$21,"Fraqueza")-12)&amp;" item(ns) não exibido(s)","")</f>
        <v/>
      </c>
      <c r="K20" s="1" t="str">
        <f aca="false">Aux!B20</f>
        <v>[Estrutura Econômica e Fiscal] EST-04 – Concentração setorial do emprego formal (HHI por seção CNAE) (índice 0–1)</v>
      </c>
      <c r="L20" s="1" t="str">
        <f aca="false">'Indicadores (F-W)'!AC20</f>
        <v>Neutro</v>
      </c>
      <c r="M20" s="93" t="n">
        <f aca="false">IF('Indicadores (F-W)'!AB20="","",'Indicadores (F-W)'!AB20)</f>
        <v>0.1288</v>
      </c>
      <c r="N20" s="1" t="str">
        <f aca="false">IF(L20="Força",COUNTIF(L$6:L20,"Força"),"")</f>
        <v/>
      </c>
      <c r="O20" s="1" t="str">
        <f aca="false">IF(L20="Fraqueza",COUNTIF(L$6:L20,"Fraqueza"),"")</f>
        <v/>
      </c>
    </row>
    <row r="21" customFormat="false" ht="15" hidden="false" customHeight="true" outlineLevel="0" collapsed="false">
      <c r="K21" s="1" t="str">
        <f aca="false">Aux!B21</f>
        <v>[Estrutura Econômica e Fiscal] EST-05 – Receitas próprias / receita corrente (%)</v>
      </c>
      <c r="L21" s="1" t="str">
        <f aca="false">'Indicadores (F-W)'!AC21</f>
        <v>Fraqueza</v>
      </c>
      <c r="M21" s="88" t="n">
        <f aca="false">IF('Indicadores (F-W)'!AB21="","",'Indicadores (F-W)'!AB21)</f>
        <v>14.35</v>
      </c>
      <c r="N21" s="1" t="str">
        <f aca="false">IF(L21="Força",COUNTIF(L$6:L21,"Força"),"")</f>
        <v/>
      </c>
      <c r="O21" s="1" t="n">
        <f aca="false">IF(L21="Fraqueza",COUNTIF(L$6:L21,"Fraqueza"),"")</f>
        <v>8</v>
      </c>
    </row>
    <row r="22" customFormat="false" ht="15" hidden="false" customHeight="true" outlineLevel="0" collapsed="false">
      <c r="B22" s="23" t="str">
        <f aca="false">"OPORTUNIDADES (O) — "&amp;SUM($T$6:$T$16)&amp;" item(ns)"</f>
        <v>OPORTUNIDADES (O) — 4 item(ns)</v>
      </c>
      <c r="C22" s="23"/>
      <c r="D22" s="23"/>
      <c r="F22" s="24" t="str">
        <f aca="false">"AMEAÇAS (T) — "&amp;SUM($V$6:$V$16)&amp;" item(ns)"</f>
        <v>AMEAÇAS (T) — 1 item(ns)</v>
      </c>
      <c r="G22" s="24"/>
      <c r="H22" s="24"/>
    </row>
    <row r="23" customFormat="false" ht="15" hidden="false" customHeight="true" outlineLevel="0" collapsed="false">
      <c r="B23" s="25" t="s">
        <v>29</v>
      </c>
      <c r="C23" s="25" t="s">
        <v>30</v>
      </c>
      <c r="D23" s="25" t="s">
        <v>33</v>
      </c>
      <c r="F23" s="26" t="s">
        <v>29</v>
      </c>
      <c r="G23" s="26" t="s">
        <v>30</v>
      </c>
      <c r="H23" s="26" t="s">
        <v>33</v>
      </c>
    </row>
    <row r="24" customFormat="false" ht="30" hidden="false" customHeight="true" outlineLevel="0" collapsed="false">
      <c r="A24" s="15" t="s">
        <v>34</v>
      </c>
      <c r="B24" s="27" t="n">
        <f aca="false">IF(C24="","",1)</f>
        <v>1</v>
      </c>
      <c r="C24" s="28" t="str">
        <f aca="false">IFERROR(INDEX($Q$6:$Q$16,MATCH(1,$U$6:$U$16,0)),"")</f>
        <v>[Agropecuária] OP-01 – Demanda externa por carne bovina e proteína animal</v>
      </c>
      <c r="D24" s="29" t="n">
        <f aca="false">IFERROR(INDEX($S$6:$S$16,MATCH(1,$U$6:$U$16,0)),"")</f>
        <v>2</v>
      </c>
      <c r="F24" s="30" t="n">
        <f aca="false">IF(G24="","",1)</f>
        <v>1</v>
      </c>
      <c r="G24" s="31" t="str">
        <f aca="false">IFERROR(INDEX($Q$6:$Q$16,MATCH(1,$W$6:$W$16,0)),"")</f>
        <v>[Estrutura Econômica e Fiscal] AM-04 – Transição da Reforma Tributária (IBS/CBS) e efeitos sobre a repartição de receitas municipais</v>
      </c>
      <c r="H24" s="32" t="n">
        <f aca="false">IFERROR(INDEX($S$6:$S$16,MATCH(1,$W$6:$W$16,0)),"")</f>
        <v>2</v>
      </c>
    </row>
    <row r="25" customFormat="false" ht="30" hidden="false" customHeight="true" outlineLevel="0" collapsed="false">
      <c r="A25" s="15"/>
      <c r="B25" s="27" t="n">
        <f aca="false">IF(C25="","",2)</f>
        <v>2</v>
      </c>
      <c r="C25" s="28" t="str">
        <f aca="false">IFERROR(INDEX($Q$6:$Q$16,MATCH(2,$U$6:$U$16,0)),"")</f>
        <v>[Indústria] OP-04 – Agroindustrialização e verticalização (frigoríficos, laticínios, sucroenergético)</v>
      </c>
      <c r="D25" s="29" t="n">
        <f aca="false">IFERROR(INDEX($S$6:$S$16,MATCH(2,$U$6:$U$16,0)),"")</f>
        <v>3</v>
      </c>
      <c r="F25" s="30" t="str">
        <f aca="false">IF(G25="","",2)</f>
        <v/>
      </c>
      <c r="G25" s="31" t="str">
        <f aca="false">IFERROR(INDEX($Q$6:$Q$16,MATCH(2,$W$6:$W$16,0)),"")</f>
        <v/>
      </c>
      <c r="H25" s="32" t="str">
        <f aca="false">IFERROR(INDEX($S$6:$S$16,MATCH(2,$W$6:$W$16,0)),"")</f>
        <v/>
      </c>
    </row>
    <row r="26" customFormat="false" ht="30" hidden="false" customHeight="true" outlineLevel="0" collapsed="false">
      <c r="A26" s="15"/>
      <c r="B26" s="27" t="n">
        <f aca="false">IF(C26="","",3)</f>
        <v>3</v>
      </c>
      <c r="C26" s="28" t="str">
        <f aca="false">IFERROR(INDEX($Q$6:$Q$16,MATCH(3,$U$6:$U$16,0)),"")</f>
        <v>[Estrutura Econômica e Fiscal] OP-05 – Corredores logísticos (rodovias federais, ferrovia, hidrovia do Paraguai)</v>
      </c>
      <c r="D26" s="29" t="n">
        <f aca="false">IFERROR(INDEX($S$6:$S$16,MATCH(3,$U$6:$U$16,0)),"")</f>
        <v>2</v>
      </c>
      <c r="F26" s="30" t="str">
        <f aca="false">IF(G26="","",3)</f>
        <v/>
      </c>
      <c r="G26" s="31" t="str">
        <f aca="false">IFERROR(INDEX($Q$6:$Q$16,MATCH(3,$W$6:$W$16,0)),"")</f>
        <v/>
      </c>
      <c r="H26" s="32" t="str">
        <f aca="false">IFERROR(INDEX($S$6:$S$16,MATCH(3,$W$6:$W$16,0)),"")</f>
        <v/>
      </c>
    </row>
    <row r="27" customFormat="false" ht="30" hidden="false" customHeight="true" outlineLevel="0" collapsed="false">
      <c r="A27" s="15"/>
      <c r="B27" s="27" t="n">
        <f aca="false">IF(C27="","",4)</f>
        <v>4</v>
      </c>
      <c r="C27" s="28" t="str">
        <f aca="false">IFERROR(INDEX($Q$6:$Q$16,MATCH(4,$U$6:$U$16,0)),"")</f>
        <v>[Estrutura Econômica e Fiscal] OP-06 – Instrumentos de fomento e financiamento (FCO, crédito rural, PSA, mercado de carbono)</v>
      </c>
      <c r="D27" s="29" t="n">
        <f aca="false">IFERROR(INDEX($S$6:$S$16,MATCH(4,$U$6:$U$16,0)),"")</f>
        <v>2</v>
      </c>
      <c r="F27" s="30" t="str">
        <f aca="false">IF(G27="","",4)</f>
        <v/>
      </c>
      <c r="G27" s="31" t="str">
        <f aca="false">IFERROR(INDEX($Q$6:$Q$16,MATCH(4,$W$6:$W$16,0)),"")</f>
        <v/>
      </c>
      <c r="H27" s="32" t="str">
        <f aca="false">IFERROR(INDEX($S$6:$S$16,MATCH(4,$W$6:$W$16,0)),"")</f>
        <v/>
      </c>
    </row>
    <row r="28" customFormat="false" ht="30" hidden="false" customHeight="true" outlineLevel="0" collapsed="false">
      <c r="A28" s="15"/>
      <c r="B28" s="27" t="str">
        <f aca="false">IF(C28="","",5)</f>
        <v/>
      </c>
      <c r="C28" s="28" t="str">
        <f aca="false">IFERROR(INDEX($Q$6:$Q$16,MATCH(5,$U$6:$U$16,0)),"")</f>
        <v/>
      </c>
      <c r="D28" s="29" t="str">
        <f aca="false">IFERROR(INDEX($S$6:$S$16,MATCH(5,$U$6:$U$16,0)),"")</f>
        <v/>
      </c>
      <c r="F28" s="30" t="str">
        <f aca="false">IF(G28="","",5)</f>
        <v/>
      </c>
      <c r="G28" s="31" t="str">
        <f aca="false">IFERROR(INDEX($Q$6:$Q$16,MATCH(5,$W$6:$W$16,0)),"")</f>
        <v/>
      </c>
      <c r="H28" s="32" t="str">
        <f aca="false">IFERROR(INDEX($S$6:$S$16,MATCH(5,$W$6:$W$16,0)),"")</f>
        <v/>
      </c>
    </row>
    <row r="29" customFormat="false" ht="30" hidden="false" customHeight="true" outlineLevel="0" collapsed="false">
      <c r="A29" s="15"/>
      <c r="B29" s="27" t="str">
        <f aca="false">IF(C29="","",6)</f>
        <v/>
      </c>
      <c r="C29" s="28" t="str">
        <f aca="false">IFERROR(INDEX($Q$6:$Q$16,MATCH(6,$U$6:$U$16,0)),"")</f>
        <v/>
      </c>
      <c r="D29" s="29" t="str">
        <f aca="false">IFERROR(INDEX($S$6:$S$16,MATCH(6,$U$6:$U$16,0)),"")</f>
        <v/>
      </c>
      <c r="F29" s="30" t="str">
        <f aca="false">IF(G29="","",6)</f>
        <v/>
      </c>
      <c r="G29" s="31" t="str">
        <f aca="false">IFERROR(INDEX($Q$6:$Q$16,MATCH(6,$W$6:$W$16,0)),"")</f>
        <v/>
      </c>
      <c r="H29" s="32" t="str">
        <f aca="false">IFERROR(INDEX($S$6:$S$16,MATCH(6,$W$6:$W$16,0)),"")</f>
        <v/>
      </c>
    </row>
    <row r="30" customFormat="false" ht="30" hidden="false" customHeight="true" outlineLevel="0" collapsed="false">
      <c r="A30" s="15"/>
      <c r="B30" s="27" t="str">
        <f aca="false">IF(C30="","",7)</f>
        <v/>
      </c>
      <c r="C30" s="28" t="str">
        <f aca="false">IFERROR(INDEX($Q$6:$Q$16,MATCH(7,$U$6:$U$16,0)),"")</f>
        <v/>
      </c>
      <c r="D30" s="29" t="str">
        <f aca="false">IFERROR(INDEX($S$6:$S$16,MATCH(7,$U$6:$U$16,0)),"")</f>
        <v/>
      </c>
      <c r="F30" s="30" t="str">
        <f aca="false">IF(G30="","",7)</f>
        <v/>
      </c>
      <c r="G30" s="31" t="str">
        <f aca="false">IFERROR(INDEX($Q$6:$Q$16,MATCH(7,$W$6:$W$16,0)),"")</f>
        <v/>
      </c>
      <c r="H30" s="32" t="str">
        <f aca="false">IFERROR(INDEX($S$6:$S$16,MATCH(7,$W$6:$W$16,0)),"")</f>
        <v/>
      </c>
    </row>
    <row r="31" customFormat="false" ht="30" hidden="false" customHeight="true" outlineLevel="0" collapsed="false">
      <c r="A31" s="15"/>
      <c r="B31" s="27" t="str">
        <f aca="false">IF(C31="","",8)</f>
        <v/>
      </c>
      <c r="C31" s="28" t="str">
        <f aca="false">IFERROR(INDEX($Q$6:$Q$16,MATCH(8,$U$6:$U$16,0)),"")</f>
        <v/>
      </c>
      <c r="D31" s="29" t="str">
        <f aca="false">IFERROR(INDEX($S$6:$S$16,MATCH(8,$U$6:$U$16,0)),"")</f>
        <v/>
      </c>
      <c r="F31" s="30" t="str">
        <f aca="false">IF(G31="","",8)</f>
        <v/>
      </c>
      <c r="G31" s="31" t="str">
        <f aca="false">IFERROR(INDEX($Q$6:$Q$16,MATCH(8,$W$6:$W$16,0)),"")</f>
        <v/>
      </c>
      <c r="H31" s="32" t="str">
        <f aca="false">IFERROR(INDEX($S$6:$S$16,MATCH(8,$W$6:$W$16,0)),"")</f>
        <v/>
      </c>
    </row>
    <row r="32" customFormat="false" ht="30" hidden="false" customHeight="true" outlineLevel="0" collapsed="false">
      <c r="A32" s="15"/>
      <c r="B32" s="27" t="str">
        <f aca="false">IF(C32="","",9)</f>
        <v/>
      </c>
      <c r="C32" s="28" t="str">
        <f aca="false">IFERROR(INDEX($Q$6:$Q$16,MATCH(9,$U$6:$U$16,0)),"")</f>
        <v/>
      </c>
      <c r="D32" s="29" t="str">
        <f aca="false">IFERROR(INDEX($S$6:$S$16,MATCH(9,$U$6:$U$16,0)),"")</f>
        <v/>
      </c>
      <c r="F32" s="30" t="str">
        <f aca="false">IF(G32="","",9)</f>
        <v/>
      </c>
      <c r="G32" s="31" t="str">
        <f aca="false">IFERROR(INDEX($Q$6:$Q$16,MATCH(9,$W$6:$W$16,0)),"")</f>
        <v/>
      </c>
      <c r="H32" s="32" t="str">
        <f aca="false">IFERROR(INDEX($S$6:$S$16,MATCH(9,$W$6:$W$16,0)),"")</f>
        <v/>
      </c>
    </row>
    <row r="33" customFormat="false" ht="30" hidden="false" customHeight="true" outlineLevel="0" collapsed="false">
      <c r="A33" s="15"/>
      <c r="B33" s="27" t="str">
        <f aca="false">IF(C33="","",10)</f>
        <v/>
      </c>
      <c r="C33" s="28" t="str">
        <f aca="false">IFERROR(INDEX($Q$6:$Q$16,MATCH(10,$U$6:$U$16,0)),"")</f>
        <v/>
      </c>
      <c r="D33" s="29" t="str">
        <f aca="false">IFERROR(INDEX($S$6:$S$16,MATCH(10,$U$6:$U$16,0)),"")</f>
        <v/>
      </c>
      <c r="F33" s="30" t="str">
        <f aca="false">IF(G33="","",10)</f>
        <v/>
      </c>
      <c r="G33" s="31" t="str">
        <f aca="false">IFERROR(INDEX($Q$6:$Q$16,MATCH(10,$W$6:$W$16,0)),"")</f>
        <v/>
      </c>
      <c r="H33" s="32" t="str">
        <f aca="false">IFERROR(INDEX($S$6:$S$16,MATCH(10,$W$6:$W$16,0)),"")</f>
        <v/>
      </c>
    </row>
    <row r="34" customFormat="false" ht="30" hidden="false" customHeight="true" outlineLevel="0" collapsed="false">
      <c r="A34" s="15"/>
      <c r="B34" s="27" t="str">
        <f aca="false">IF(C34="","",11)</f>
        <v/>
      </c>
      <c r="C34" s="28" t="str">
        <f aca="false">IFERROR(INDEX($Q$6:$Q$16,MATCH(11,$U$6:$U$16,0)),"")</f>
        <v/>
      </c>
      <c r="D34" s="29" t="str">
        <f aca="false">IFERROR(INDEX($S$6:$S$16,MATCH(11,$U$6:$U$16,0)),"")</f>
        <v/>
      </c>
      <c r="F34" s="30" t="str">
        <f aca="false">IF(G34="","",11)</f>
        <v/>
      </c>
      <c r="G34" s="31" t="str">
        <f aca="false">IFERROR(INDEX($Q$6:$Q$16,MATCH(11,$W$6:$W$16,0)),"")</f>
        <v/>
      </c>
      <c r="H34" s="32" t="str">
        <f aca="false">IFERROR(INDEX($S$6:$S$16,MATCH(11,$W$6:$W$16,0)),"")</f>
        <v/>
      </c>
    </row>
    <row r="35" customFormat="false" ht="30" hidden="false" customHeight="true" outlineLevel="0" collapsed="false">
      <c r="A35" s="15"/>
      <c r="B35" s="27" t="str">
        <f aca="false">IF(C35="","",12)</f>
        <v/>
      </c>
      <c r="C35" s="28" t="str">
        <f aca="false">IFERROR(INDEX($Q$6:$Q$16,MATCH(12,$U$6:$U$16,0)),"")</f>
        <v/>
      </c>
      <c r="D35" s="29" t="str">
        <f aca="false">IFERROR(INDEX($S$6:$S$16,MATCH(12,$U$6:$U$16,0)),"")</f>
        <v/>
      </c>
      <c r="F35" s="30" t="str">
        <f aca="false">IF(G35="","",12)</f>
        <v/>
      </c>
      <c r="G35" s="31" t="str">
        <f aca="false">IFERROR(INDEX($Q$6:$Q$16,MATCH(12,$W$6:$W$16,0)),"")</f>
        <v/>
      </c>
      <c r="H35" s="32" t="str">
        <f aca="false">IFERROR(INDEX($S$6:$S$16,MATCH(12,$W$6:$W$16,0)),"")</f>
        <v/>
      </c>
    </row>
    <row r="36" customFormat="false" ht="15" hidden="false" customHeight="true" outlineLevel="0" collapsed="false">
      <c r="C36" s="22" t="str">
        <f aca="false">IF(SUM($T$6:$T$16)&gt;12,"+ "&amp;(SUM($T$6:$T$16)-12)&amp;" item(ns) não exibido(s)","")</f>
        <v/>
      </c>
      <c r="G36" s="22" t="str">
        <f aca="false">IF(SUM($V$6:$V$16)&gt;12,"+ "&amp;(SUM($V$6:$V$16)-12)&amp;" item(ns) não exibido(s)","")</f>
        <v/>
      </c>
    </row>
    <row r="38" customFormat="false" ht="15" hidden="false" customHeight="true" outlineLevel="0" collapsed="false">
      <c r="B38" s="33" t="s">
        <v>329</v>
      </c>
    </row>
  </sheetData>
  <mergeCells count="8">
    <mergeCell ref="B5:D5"/>
    <mergeCell ref="F5:H5"/>
    <mergeCell ref="B6:D6"/>
    <mergeCell ref="F6:H6"/>
    <mergeCell ref="A8:A19"/>
    <mergeCell ref="B22:D22"/>
    <mergeCell ref="F22:H22"/>
    <mergeCell ref="A24:A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W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"/>
    <col collapsed="false" customWidth="true" hidden="false" outlineLevel="0" max="3" min="3" style="1" width="55"/>
    <col collapsed="false" customWidth="true" hidden="false" outlineLevel="0" max="4" min="4" style="1" width="12"/>
    <col collapsed="false" customWidth="true" hidden="false" outlineLevel="0" max="5" min="5" style="1" width="2"/>
    <col collapsed="false" customWidth="true" hidden="false" outlineLevel="0" max="6" min="6" style="1" width="5"/>
    <col collapsed="false" customWidth="true" hidden="false" outlineLevel="0" max="7" min="7" style="1" width="55"/>
    <col collapsed="false" customWidth="true" hidden="false" outlineLevel="0" max="8" min="8" style="1" width="12"/>
    <col collapsed="false" customWidth="true" hidden="true" outlineLevel="0" max="23" min="11" style="1" width="13"/>
  </cols>
  <sheetData>
    <row r="1" customFormat="false" ht="17.25" hidden="false" customHeight="true" outlineLevel="0" collapsed="false">
      <c r="B1" s="91" t="s">
        <v>337</v>
      </c>
    </row>
    <row r="2" customFormat="false" ht="15" hidden="false" customHeight="true" outlineLevel="0" collapsed="false">
      <c r="B2" s="9" t="s">
        <v>328</v>
      </c>
    </row>
    <row r="3" customFormat="false" ht="15" hidden="false" customHeight="true" outlineLevel="0" collapsed="false">
      <c r="B3" s="92" t="str">
        <f aca="false">"Indicadores internos com dado: "&amp;(COUNTA(L6:L21)-COUNTBLANK(L6:L21))&amp;" de 16  |  Neutros: "&amp;COUNTIF(L6:L21,"Neutro")&amp;"  |  Fatores externos pontuados: "&amp;COUNT(S6:S16)&amp;" de 11"</f>
        <v>Indicadores internos com dado: 14 de 16  |  Neutros: 2  |  Fatores externos pontuados: 11 de 11</v>
      </c>
    </row>
    <row r="5" customFormat="false" ht="15" hidden="false" customHeight="true" outlineLevel="0" collapsed="false">
      <c r="B5" s="10" t="s">
        <v>27</v>
      </c>
      <c r="C5" s="10"/>
      <c r="D5" s="10"/>
      <c r="F5" s="10" t="s">
        <v>28</v>
      </c>
      <c r="G5" s="10"/>
      <c r="H5" s="10"/>
    </row>
    <row r="6" customFormat="false" ht="15" hidden="false" customHeight="true" outlineLevel="0" collapsed="false">
      <c r="B6" s="11" t="str">
        <f aca="false">"FORÇAS (S) — "&amp;COUNTIF($L$6:$L$21,"Força")&amp;" item(ns)"</f>
        <v>FORÇAS (S) — 4 item(ns)</v>
      </c>
      <c r="C6" s="11"/>
      <c r="D6" s="11"/>
      <c r="F6" s="12" t="str">
        <f aca="false">"FRAQUEZAS (W) — "&amp;COUNTIF($L$6:$L$21,"Fraqueza")&amp;" item(ns)"</f>
        <v>FRAQUEZAS (W) — 8 item(ns)</v>
      </c>
      <c r="G6" s="12"/>
      <c r="H6" s="12"/>
      <c r="K6" s="1" t="str">
        <f aca="false">Aux!B6</f>
        <v>[Agropecuária] AGR-01 – Quociente locacional do VAB agropecuário (base MT) (índice)</v>
      </c>
      <c r="L6" s="1" t="str">
        <f aca="false">'Indicadores (F-W)'!AE6</f>
        <v>Fraqueza</v>
      </c>
      <c r="M6" s="87" t="n">
        <f aca="false">IF('Indicadores (F-W)'!AD6="","",'Indicadores (F-W)'!AD6)</f>
        <v>0.5183</v>
      </c>
      <c r="N6" s="1" t="str">
        <f aca="false">IF(L6="Força",COUNTIF(L$6:L6,"Força"),"")</f>
        <v/>
      </c>
      <c r="O6" s="1" t="n">
        <f aca="false">IF(L6="Fraqueza",COUNTIF(L$6:L6,"Fraqueza"),"")</f>
        <v>1</v>
      </c>
      <c r="Q6" s="1" t="str">
        <f aca="false">Aux!I6</f>
        <v>[Agropecuária] OP-01 – Demanda externa por carne bovina e proteína animal</v>
      </c>
      <c r="R6" s="1" t="str">
        <f aca="false">Aux!J6</f>
        <v>Oportunidade</v>
      </c>
      <c r="S6" s="1" t="n">
        <f aca="false">IF('Fatores Externos (O-A)'!N6="","",'Fatores Externos (O-A)'!N6)</f>
        <v>2</v>
      </c>
      <c r="T6" s="1" t="n">
        <f aca="false">IF(AND(R6="Oportunidade",ISNUMBER(S6)),IF(S6&gt;=Parâmetros!$B$5,1,0),0)</f>
        <v>1</v>
      </c>
      <c r="U6" s="1" t="n">
        <f aca="false">IF(T6=1,SUM(T$6:T6),"")</f>
        <v>1</v>
      </c>
      <c r="V6" s="1" t="n">
        <f aca="false">IF(AND(R6="Ameaça",ISNUMBER(S6)),IF(S6&gt;=Parâmetros!$B$5,1,0),0)</f>
        <v>0</v>
      </c>
      <c r="W6" s="1" t="str">
        <f aca="false">IF(V6=1,SUM(V$6:V6),"")</f>
        <v/>
      </c>
    </row>
    <row r="7" customFormat="false" ht="15" hidden="false" customHeight="true" outlineLevel="0" collapsed="false">
      <c r="B7" s="13" t="s">
        <v>29</v>
      </c>
      <c r="C7" s="13" t="s">
        <v>30</v>
      </c>
      <c r="D7" s="13" t="s">
        <v>31</v>
      </c>
      <c r="F7" s="14" t="s">
        <v>29</v>
      </c>
      <c r="G7" s="14" t="s">
        <v>30</v>
      </c>
      <c r="H7" s="14" t="s">
        <v>31</v>
      </c>
      <c r="K7" s="1" t="str">
        <f aca="false">Aux!B7</f>
        <v>[Agropecuária] AGR-02 – Valor da produção das lavouras por área colhida (R$/ha)</v>
      </c>
      <c r="L7" s="1" t="str">
        <f aca="false">'Indicadores (F-W)'!AE7</f>
        <v>Neutro</v>
      </c>
      <c r="M7" s="88" t="n">
        <f aca="false">IF('Indicadores (F-W)'!AD7="","",'Indicadores (F-W)'!AD7)</f>
        <v>5734.66</v>
      </c>
      <c r="N7" s="1" t="str">
        <f aca="false">IF(L7="Força",COUNTIF(L$6:L7,"Força"),"")</f>
        <v/>
      </c>
      <c r="O7" s="1" t="str">
        <f aca="false">IF(L7="Fraqueza",COUNTIF(L$6:L7,"Fraqueza"),"")</f>
        <v/>
      </c>
      <c r="Q7" s="1" t="str">
        <f aca="false">Aux!I7</f>
        <v>[Agropecuária] OP-02 – Mercados para produtos diferenciados e certificados (carne sustentável/orgânica, origem Pantanal)</v>
      </c>
      <c r="R7" s="1" t="str">
        <f aca="false">Aux!J7</f>
        <v>Oportunidade</v>
      </c>
      <c r="S7" s="1" t="n">
        <f aca="false">IF('Fatores Externos (O-A)'!N7="","",'Fatores Externos (O-A)'!N7)</f>
        <v>2</v>
      </c>
      <c r="T7" s="1" t="n">
        <f aca="false">IF(AND(R7="Oportunidade",ISNUMBER(S7)),IF(S7&gt;=Parâmetros!$B$5,1,0),0)</f>
        <v>1</v>
      </c>
      <c r="U7" s="1" t="n">
        <f aca="false">IF(T7=1,SUM(T$6:T7),"")</f>
        <v>2</v>
      </c>
      <c r="V7" s="1" t="n">
        <f aca="false">IF(AND(R7="Ameaça",ISNUMBER(S7)),IF(S7&gt;=Parâmetros!$B$5,1,0),0)</f>
        <v>0</v>
      </c>
      <c r="W7" s="1" t="str">
        <f aca="false">IF(V7=1,SUM(V$6:V7),"")</f>
        <v/>
      </c>
    </row>
    <row r="8" customFormat="false" ht="30" hidden="false" customHeight="true" outlineLevel="0" collapsed="false">
      <c r="A8" s="15" t="s">
        <v>32</v>
      </c>
      <c r="B8" s="16" t="n">
        <f aca="false">IF(C8="","",1)</f>
        <v>1</v>
      </c>
      <c r="C8" s="17" t="str">
        <f aca="false">IFERROR(INDEX($K$6:$K$21,MATCH(1,$N$6:$N$21,0)),"")</f>
        <v>[Agropecuária] AGR-03 – Variação do efetivo bovino em 5 anos (%)</v>
      </c>
      <c r="D8" s="18" t="n">
        <f aca="false">IFERROR(INDEX($M$6:$M$21,MATCH(1,$N$6:$N$21,0)),"")</f>
        <v>23.81</v>
      </c>
      <c r="F8" s="19" t="n">
        <f aca="false">IF(G8="","",1)</f>
        <v>1</v>
      </c>
      <c r="G8" s="20" t="str">
        <f aca="false">IFERROR(INDEX($K$6:$K$21,MATCH(1,$O$6:$O$21,0)),"")</f>
        <v>[Agropecuária] AGR-01 – Quociente locacional do VAB agropecuário (base MT) (índice)</v>
      </c>
      <c r="H8" s="21" t="n">
        <f aca="false">IFERROR(INDEX($M$6:$M$21,MATCH(1,$O$6:$O$21,0)),"")</f>
        <v>0.5183</v>
      </c>
      <c r="K8" s="1" t="str">
        <f aca="false">Aux!B8</f>
        <v>[Agropecuária] AGR-03 – Variação do efetivo bovino em 5 anos (%)</v>
      </c>
      <c r="L8" s="1" t="str">
        <f aca="false">'Indicadores (F-W)'!AE8</f>
        <v>Força</v>
      </c>
      <c r="M8" s="88" t="n">
        <f aca="false">IF('Indicadores (F-W)'!AD8="","",'Indicadores (F-W)'!AD8)</f>
        <v>23.81</v>
      </c>
      <c r="N8" s="1" t="n">
        <f aca="false">IF(L8="Força",COUNTIF(L$6:L8,"Força"),"")</f>
        <v>1</v>
      </c>
      <c r="O8" s="1" t="str">
        <f aca="false">IF(L8="Fraqueza",COUNTIF(L$6:L8,"Fraqueza"),"")</f>
        <v/>
      </c>
      <c r="Q8" s="1" t="str">
        <f aca="false">Aux!I8</f>
        <v>[Comércio e Serviços] OP-03 – Expansão do turismo de natureza, pesca esportiva e ecoturismo</v>
      </c>
      <c r="R8" s="1" t="str">
        <f aca="false">Aux!J8</f>
        <v>Oportunidade</v>
      </c>
      <c r="S8" s="1" t="n">
        <f aca="false">IF('Fatores Externos (O-A)'!N8="","",'Fatores Externos (O-A)'!N8)</f>
        <v>1</v>
      </c>
      <c r="T8" s="1" t="n">
        <f aca="false">IF(AND(R8="Oportunidade",ISNUMBER(S8)),IF(S8&gt;=Parâmetros!$B$5,1,0),0)</f>
        <v>0</v>
      </c>
      <c r="U8" s="1" t="str">
        <f aca="false">IF(T8=1,SUM(T$6:T8),"")</f>
        <v/>
      </c>
      <c r="V8" s="1" t="n">
        <f aca="false">IF(AND(R8="Ameaça",ISNUMBER(S8)),IF(S8&gt;=Parâmetros!$B$5,1,0),0)</f>
        <v>0</v>
      </c>
      <c r="W8" s="1" t="str">
        <f aca="false">IF(V8=1,SUM(V$6:V8),"")</f>
        <v/>
      </c>
    </row>
    <row r="9" customFormat="false" ht="30" hidden="false" customHeight="true" outlineLevel="0" collapsed="false">
      <c r="A9" s="15"/>
      <c r="B9" s="16" t="n">
        <f aca="false">IF(C9="","",2)</f>
        <v>2</v>
      </c>
      <c r="C9" s="17" t="str">
        <f aca="false">IFERROR(INDEX($K$6:$K$21,MATCH(2,$N$6:$N$21,0)),"")</f>
        <v>[Indústria] IND-01 – Quociente locacional do VAB industrial (base MT) (índice)</v>
      </c>
      <c r="D9" s="18" t="n">
        <f aca="false">IFERROR(INDEX($M$6:$M$21,MATCH(2,$N$6:$N$21,0)),"")</f>
        <v>2.0033</v>
      </c>
      <c r="F9" s="19" t="n">
        <f aca="false">IF(G9="","",2)</f>
        <v>2</v>
      </c>
      <c r="G9" s="20" t="str">
        <f aca="false">IFERROR(INDEX($K$6:$K$21,MATCH(2,$O$6:$O$21,0)),"")</f>
        <v>[Comércio e Serviços] CS-01 – Quociente locacional do VAB de serviços, exceto adm. pública (base MT) (índice)</v>
      </c>
      <c r="H9" s="21" t="n">
        <f aca="false">IFERROR(INDEX($M$6:$M$21,MATCH(2,$O$6:$O$21,0)),"")</f>
        <v>0.7089</v>
      </c>
      <c r="K9" s="1" t="str">
        <f aca="false">Aux!B9</f>
        <v>[Agropecuária] AGR-04 – Estabelecimentos agropecuários que receberam assistência técnica (%)</v>
      </c>
      <c r="L9" s="1" t="str">
        <f aca="false">'Indicadores (F-W)'!AE9</f>
        <v/>
      </c>
      <c r="M9" s="1" t="str">
        <f aca="false">IF('Indicadores (F-W)'!AD9="","",'Indicadores (F-W)'!AD9)</f>
        <v/>
      </c>
      <c r="N9" s="1" t="str">
        <f aca="false">IF(L9="Força",COUNTIF(L$6:L9,"Força"),"")</f>
        <v/>
      </c>
      <c r="O9" s="1" t="str">
        <f aca="false">IF(L9="Fraqueza",COUNTIF(L$6:L9,"Fraqueza"),"")</f>
        <v/>
      </c>
      <c r="Q9" s="1" t="str">
        <f aca="false">Aux!I9</f>
        <v>[Indústria] OP-04 – Agroindustrialização e verticalização (frigoríficos, laticínios, sucroenergético)</v>
      </c>
      <c r="R9" s="1" t="str">
        <f aca="false">Aux!J9</f>
        <v>Oportunidade</v>
      </c>
      <c r="S9" s="1" t="n">
        <f aca="false">IF('Fatores Externos (O-A)'!N9="","",'Fatores Externos (O-A)'!N9)</f>
        <v>1</v>
      </c>
      <c r="T9" s="1" t="n">
        <f aca="false">IF(AND(R9="Oportunidade",ISNUMBER(S9)),IF(S9&gt;=Parâmetros!$B$5,1,0),0)</f>
        <v>0</v>
      </c>
      <c r="U9" s="1" t="str">
        <f aca="false">IF(T9=1,SUM(T$6:T9),"")</f>
        <v/>
      </c>
      <c r="V9" s="1" t="n">
        <f aca="false">IF(AND(R9="Ameaça",ISNUMBER(S9)),IF(S9&gt;=Parâmetros!$B$5,1,0),0)</f>
        <v>0</v>
      </c>
      <c r="W9" s="1" t="str">
        <f aca="false">IF(V9=1,SUM(V$6:V9),"")</f>
        <v/>
      </c>
    </row>
    <row r="10" customFormat="false" ht="30" hidden="false" customHeight="true" outlineLevel="0" collapsed="false">
      <c r="A10" s="15"/>
      <c r="B10" s="16" t="n">
        <f aca="false">IF(C10="","",3)</f>
        <v>3</v>
      </c>
      <c r="C10" s="17" t="str">
        <f aca="false">IFERROR(INDEX($K$6:$K$21,MATCH(3,$N$6:$N$21,0)),"")</f>
        <v>[Indústria] IND-02 – Variação do emprego formal na indústria em 5 anos (%)</v>
      </c>
      <c r="D10" s="18" t="n">
        <f aca="false">IFERROR(INDEX($M$6:$M$21,MATCH(3,$N$6:$N$21,0)),"")</f>
        <v>64.63</v>
      </c>
      <c r="F10" s="19" t="n">
        <f aca="false">IF(G10="","",3)</f>
        <v>3</v>
      </c>
      <c r="G10" s="20" t="str">
        <f aca="false">IFERROR(INDEX($K$6:$K$21,MATCH(3,$O$6:$O$21,0)),"")</f>
        <v>[Comércio e Serviços] CS-03 – Empresas e outras organizações ativas por mil habitantes (un./mil hab.)</v>
      </c>
      <c r="H10" s="21" t="n">
        <f aca="false">IFERROR(INDEX($M$6:$M$21,MATCH(3,$O$6:$O$21,0)),"")</f>
        <v>14.51</v>
      </c>
      <c r="K10" s="1" t="str">
        <f aca="false">Aux!B10</f>
        <v>[Agropecuária] AGR-05 – Diversificação agrícola (1 − HHI do valor da produção das lavouras) (índice 0–1)</v>
      </c>
      <c r="L10" s="1" t="str">
        <f aca="false">'Indicadores (F-W)'!AE10</f>
        <v/>
      </c>
      <c r="M10" s="1" t="str">
        <f aca="false">IF('Indicadores (F-W)'!AD10="","",'Indicadores (F-W)'!AD10)</f>
        <v/>
      </c>
      <c r="N10" s="1" t="str">
        <f aca="false">IF(L10="Força",COUNTIF(L$6:L10,"Força"),"")</f>
        <v/>
      </c>
      <c r="O10" s="1" t="str">
        <f aca="false">IF(L10="Fraqueza",COUNTIF(L$6:L10,"Fraqueza"),"")</f>
        <v/>
      </c>
      <c r="Q10" s="1" t="str">
        <f aca="false">Aux!I10</f>
        <v>[Estrutura Econômica e Fiscal] OP-05 – Corredores logísticos (rodovias federais, ferrovia, hidrovia do Paraguai)</v>
      </c>
      <c r="R10" s="1" t="str">
        <f aca="false">Aux!J10</f>
        <v>Oportunidade</v>
      </c>
      <c r="S10" s="1" t="n">
        <f aca="false">IF('Fatores Externos (O-A)'!N10="","",'Fatores Externos (O-A)'!N10)</f>
        <v>2</v>
      </c>
      <c r="T10" s="1" t="n">
        <f aca="false">IF(AND(R10="Oportunidade",ISNUMBER(S10)),IF(S10&gt;=Parâmetros!$B$5,1,0),0)</f>
        <v>1</v>
      </c>
      <c r="U10" s="1" t="n">
        <f aca="false">IF(T10=1,SUM(T$6:T10),"")</f>
        <v>3</v>
      </c>
      <c r="V10" s="1" t="n">
        <f aca="false">IF(AND(R10="Ameaça",ISNUMBER(S10)),IF(S10&gt;=Parâmetros!$B$5,1,0),0)</f>
        <v>0</v>
      </c>
      <c r="W10" s="1" t="str">
        <f aca="false">IF(V10=1,SUM(V$6:V10),"")</f>
        <v/>
      </c>
    </row>
    <row r="11" customFormat="false" ht="30" hidden="false" customHeight="true" outlineLevel="0" collapsed="false">
      <c r="A11" s="15"/>
      <c r="B11" s="16" t="n">
        <f aca="false">IF(C11="","",4)</f>
        <v>4</v>
      </c>
      <c r="C11" s="17" t="str">
        <f aca="false">IFERROR(INDEX($K$6:$K$21,MATCH(4,$N$6:$N$21,0)),"")</f>
        <v>[Comércio e Serviços] CS-02 – Variação do emprego formal em comércio e serviços em 5 anos (%)</v>
      </c>
      <c r="D11" s="18" t="n">
        <f aca="false">IFERROR(INDEX($M$6:$M$21,MATCH(4,$N$6:$N$21,0)),"")</f>
        <v>158.22</v>
      </c>
      <c r="F11" s="19" t="n">
        <f aca="false">IF(G11="","",4)</f>
        <v>4</v>
      </c>
      <c r="G11" s="20" t="str">
        <f aca="false">IFERROR(INDEX($K$6:$K$21,MATCH(4,$O$6:$O$21,0)),"")</f>
        <v>[Estrutura Econômica e Fiscal] EST-01 – PIB per capita (R$)</v>
      </c>
      <c r="H11" s="21" t="n">
        <f aca="false">IFERROR(INDEX($M$6:$M$21,MATCH(4,$O$6:$O$21,0)),"")</f>
        <v>33510.51</v>
      </c>
      <c r="K11" s="1" t="str">
        <f aca="false">Aux!B11</f>
        <v>[Indústria] IND-01 – Quociente locacional do VAB industrial (base MT) (índice)</v>
      </c>
      <c r="L11" s="1" t="str">
        <f aca="false">'Indicadores (F-W)'!AE11</f>
        <v>Força</v>
      </c>
      <c r="M11" s="87" t="n">
        <f aca="false">IF('Indicadores (F-W)'!AD11="","",'Indicadores (F-W)'!AD11)</f>
        <v>2.0033</v>
      </c>
      <c r="N11" s="1" t="n">
        <f aca="false">IF(L11="Força",COUNTIF(L$6:L11,"Força"),"")</f>
        <v>2</v>
      </c>
      <c r="O11" s="1" t="str">
        <f aca="false">IF(L11="Fraqueza",COUNTIF(L$6:L11,"Fraqueza"),"")</f>
        <v/>
      </c>
      <c r="Q11" s="1" t="str">
        <f aca="false">Aux!I11</f>
        <v>[Estrutura Econômica e Fiscal] OP-06 – Instrumentos de fomento e financiamento (FCO, crédito rural, PSA, mercado de carbono)</v>
      </c>
      <c r="R11" s="1" t="str">
        <f aca="false">Aux!J11</f>
        <v>Oportunidade</v>
      </c>
      <c r="S11" s="1" t="n">
        <f aca="false">IF('Fatores Externos (O-A)'!N11="","",'Fatores Externos (O-A)'!N11)</f>
        <v>2</v>
      </c>
      <c r="T11" s="1" t="n">
        <f aca="false">IF(AND(R11="Oportunidade",ISNUMBER(S11)),IF(S11&gt;=Parâmetros!$B$5,1,0),0)</f>
        <v>1</v>
      </c>
      <c r="U11" s="1" t="n">
        <f aca="false">IF(T11=1,SUM(T$6:T11),"")</f>
        <v>4</v>
      </c>
      <c r="V11" s="1" t="n">
        <f aca="false">IF(AND(R11="Ameaça",ISNUMBER(S11)),IF(S11&gt;=Parâmetros!$B$5,1,0),0)</f>
        <v>0</v>
      </c>
      <c r="W11" s="1" t="str">
        <f aca="false">IF(V11=1,SUM(V$6:V11),"")</f>
        <v/>
      </c>
    </row>
    <row r="12" customFormat="false" ht="30" hidden="false" customHeight="true" outlineLevel="0" collapsed="false">
      <c r="A12" s="15"/>
      <c r="B12" s="16" t="str">
        <f aca="false">IF(C12="","",5)</f>
        <v/>
      </c>
      <c r="C12" s="17" t="str">
        <f aca="false">IFERROR(INDEX($K$6:$K$21,MATCH(5,$N$6:$N$21,0)),"")</f>
        <v/>
      </c>
      <c r="D12" s="18" t="str">
        <f aca="false">IFERROR(INDEX($M$6:$M$21,MATCH(5,$N$6:$N$21,0)),"")</f>
        <v/>
      </c>
      <c r="F12" s="19" t="n">
        <f aca="false">IF(G12="","",5)</f>
        <v>5</v>
      </c>
      <c r="G12" s="20" t="str">
        <f aca="false">IFERROR(INDEX($K$6:$K$21,MATCH(5,$O$6:$O$21,0)),"")</f>
        <v>[Estrutura Econômica e Fiscal] EST-02 – Participação da administração pública no VAB total (%)</v>
      </c>
      <c r="H12" s="21" t="n">
        <f aca="false">IFERROR(INDEX($M$6:$M$21,MATCH(5,$O$6:$O$21,0)),"")</f>
        <v>24.97</v>
      </c>
      <c r="K12" s="1" t="str">
        <f aca="false">Aux!B12</f>
        <v>[Indústria] IND-02 – Variação do emprego formal na indústria em 5 anos (%)</v>
      </c>
      <c r="L12" s="1" t="str">
        <f aca="false">'Indicadores (F-W)'!AE12</f>
        <v>Força</v>
      </c>
      <c r="M12" s="88" t="n">
        <f aca="false">IF('Indicadores (F-W)'!AD12="","",'Indicadores (F-W)'!AD12)</f>
        <v>64.63</v>
      </c>
      <c r="N12" s="1" t="n">
        <f aca="false">IF(L12="Força",COUNTIF(L$6:L12,"Força"),"")</f>
        <v>3</v>
      </c>
      <c r="O12" s="1" t="str">
        <f aca="false">IF(L12="Fraqueza",COUNTIF(L$6:L12,"Fraqueza"),"")</f>
        <v/>
      </c>
      <c r="Q12" s="1" t="str">
        <f aca="false">Aux!I12</f>
        <v>[Agropecuária] AM-01 – Eventos climáticos extremos: secas prolongadas e incêndios no Pantanal</v>
      </c>
      <c r="R12" s="1" t="str">
        <f aca="false">Aux!J12</f>
        <v>Ameaça</v>
      </c>
      <c r="S12" s="1" t="n">
        <f aca="false">IF('Fatores Externos (O-A)'!N12="","",'Fatores Externos (O-A)'!N12)</f>
        <v>2</v>
      </c>
      <c r="T12" s="1" t="n">
        <f aca="false">IF(AND(R12="Oportunidade",ISNUMBER(S12)),IF(S12&gt;=Parâmetros!$B$5,1,0),0)</f>
        <v>0</v>
      </c>
      <c r="U12" s="1" t="str">
        <f aca="false">IF(T12=1,SUM(T$6:T12),"")</f>
        <v/>
      </c>
      <c r="V12" s="1" t="n">
        <f aca="false">IF(AND(R12="Ameaça",ISNUMBER(S12)),IF(S12&gt;=Parâmetros!$B$5,1,0),0)</f>
        <v>1</v>
      </c>
      <c r="W12" s="1" t="n">
        <f aca="false">IF(V12=1,SUM(V$6:V12),"")</f>
        <v>1</v>
      </c>
    </row>
    <row r="13" customFormat="false" ht="30" hidden="false" customHeight="true" outlineLevel="0" collapsed="false">
      <c r="A13" s="15"/>
      <c r="B13" s="16" t="str">
        <f aca="false">IF(C13="","",6)</f>
        <v/>
      </c>
      <c r="C13" s="17" t="str">
        <f aca="false">IFERROR(INDEX($K$6:$K$21,MATCH(6,$N$6:$N$21,0)),"")</f>
        <v/>
      </c>
      <c r="D13" s="18" t="str">
        <f aca="false">IFERROR(INDEX($M$6:$M$21,MATCH(6,$N$6:$N$21,0)),"")</f>
        <v/>
      </c>
      <c r="F13" s="19" t="n">
        <f aca="false">IF(G13="","",6)</f>
        <v>6</v>
      </c>
      <c r="G13" s="20" t="str">
        <f aca="false">IFERROR(INDEX($K$6:$K$21,MATCH(6,$O$6:$O$21,0)),"")</f>
        <v>[Estrutura Econômica e Fiscal] EST-03 – Vínculos formais por 100 habitantes (vínculos/100 hab.)</v>
      </c>
      <c r="H13" s="21" t="n">
        <f aca="false">IFERROR(INDEX($M$6:$M$21,MATCH(6,$O$6:$O$21,0)),"")</f>
        <v>24.35</v>
      </c>
      <c r="K13" s="1" t="str">
        <f aca="false">Aux!B13</f>
        <v>[Indústria] IND-03 – Remuneração média do emprego formal industrial (R$)</v>
      </c>
      <c r="L13" s="1" t="str">
        <f aca="false">'Indicadores (F-W)'!AE13</f>
        <v>Neutro</v>
      </c>
      <c r="M13" s="88" t="n">
        <f aca="false">IF('Indicadores (F-W)'!AD13="","",'Indicadores (F-W)'!AD13)</f>
        <v>2895.19</v>
      </c>
      <c r="N13" s="1" t="str">
        <f aca="false">IF(L13="Força",COUNTIF(L$6:L13,"Força"),"")</f>
        <v/>
      </c>
      <c r="O13" s="1" t="str">
        <f aca="false">IF(L13="Fraqueza",COUNTIF(L$6:L13,"Fraqueza"),"")</f>
        <v/>
      </c>
      <c r="Q13" s="1" t="str">
        <f aca="false">Aux!I13</f>
        <v>[Agropecuária] AM-02 – Volatilidade de preços de commodities (boi gordo, soja, milho)</v>
      </c>
      <c r="R13" s="1" t="str">
        <f aca="false">Aux!J13</f>
        <v>Ameaça</v>
      </c>
      <c r="S13" s="1" t="n">
        <f aca="false">IF('Fatores Externos (O-A)'!N13="","",'Fatores Externos (O-A)'!N13)</f>
        <v>2</v>
      </c>
      <c r="T13" s="1" t="n">
        <f aca="false">IF(AND(R13="Oportunidade",ISNUMBER(S13)),IF(S13&gt;=Parâmetros!$B$5,1,0),0)</f>
        <v>0</v>
      </c>
      <c r="U13" s="1" t="str">
        <f aca="false">IF(T13=1,SUM(T$6:T13),"")</f>
        <v/>
      </c>
      <c r="V13" s="1" t="n">
        <f aca="false">IF(AND(R13="Ameaça",ISNUMBER(S13)),IF(S13&gt;=Parâmetros!$B$5,1,0),0)</f>
        <v>1</v>
      </c>
      <c r="W13" s="1" t="n">
        <f aca="false">IF(V13=1,SUM(V$6:V13),"")</f>
        <v>2</v>
      </c>
    </row>
    <row r="14" customFormat="false" ht="30" hidden="false" customHeight="true" outlineLevel="0" collapsed="false">
      <c r="A14" s="15"/>
      <c r="B14" s="16" t="str">
        <f aca="false">IF(C14="","",7)</f>
        <v/>
      </c>
      <c r="C14" s="17" t="str">
        <f aca="false">IFERROR(INDEX($K$6:$K$21,MATCH(7,$N$6:$N$21,0)),"")</f>
        <v/>
      </c>
      <c r="D14" s="18" t="str">
        <f aca="false">IFERROR(INDEX($M$6:$M$21,MATCH(7,$N$6:$N$21,0)),"")</f>
        <v/>
      </c>
      <c r="F14" s="19" t="n">
        <f aca="false">IF(G14="","",7)</f>
        <v>7</v>
      </c>
      <c r="G14" s="20" t="str">
        <f aca="false">IFERROR(INDEX($K$6:$K$21,MATCH(7,$O$6:$O$21,0)),"")</f>
        <v>[Estrutura Econômica e Fiscal] EST-04 – Concentração setorial do emprego formal (HHI por seção CNAE) (índice 0–1)</v>
      </c>
      <c r="H14" s="21" t="n">
        <f aca="false">IFERROR(INDEX($M$6:$M$21,MATCH(7,$O$6:$O$21,0)),"")</f>
        <v>0.2738</v>
      </c>
      <c r="K14" s="1" t="str">
        <f aca="false">Aux!B14</f>
        <v>[Comércio e Serviços] CS-01 – Quociente locacional do VAB de serviços, exceto adm. pública (base MT) (índice)</v>
      </c>
      <c r="L14" s="1" t="str">
        <f aca="false">'Indicadores (F-W)'!AE14</f>
        <v>Fraqueza</v>
      </c>
      <c r="M14" s="87" t="n">
        <f aca="false">IF('Indicadores (F-W)'!AD14="","",'Indicadores (F-W)'!AD14)</f>
        <v>0.7089</v>
      </c>
      <c r="N14" s="1" t="str">
        <f aca="false">IF(L14="Força",COUNTIF(L$6:L14,"Força"),"")</f>
        <v/>
      </c>
      <c r="O14" s="1" t="n">
        <f aca="false">IF(L14="Fraqueza",COUNTIF(L$6:L14,"Fraqueza"),"")</f>
        <v>2</v>
      </c>
      <c r="Q14" s="1" t="str">
        <f aca="false">Aux!I14</f>
        <v>[Agropecuária] AM-03 – Exigências ambientais de mercados importadores e barreiras ligadas a desmatamento (ex.: EUDR)</v>
      </c>
      <c r="R14" s="1" t="str">
        <f aca="false">Aux!J14</f>
        <v>Ameaça</v>
      </c>
      <c r="S14" s="1" t="n">
        <f aca="false">IF('Fatores Externos (O-A)'!N14="","",'Fatores Externos (O-A)'!N14)</f>
        <v>1</v>
      </c>
      <c r="T14" s="1" t="n">
        <f aca="false">IF(AND(R14="Oportunidade",ISNUMBER(S14)),IF(S14&gt;=Parâmetros!$B$5,1,0),0)</f>
        <v>0</v>
      </c>
      <c r="U14" s="1" t="str">
        <f aca="false">IF(T14=1,SUM(T$6:T14),"")</f>
        <v/>
      </c>
      <c r="V14" s="1" t="n">
        <f aca="false">IF(AND(R14="Ameaça",ISNUMBER(S14)),IF(S14&gt;=Parâmetros!$B$5,1,0),0)</f>
        <v>0</v>
      </c>
      <c r="W14" s="1" t="str">
        <f aca="false">IF(V14=1,SUM(V$6:V14),"")</f>
        <v/>
      </c>
    </row>
    <row r="15" customFormat="false" ht="30" hidden="false" customHeight="true" outlineLevel="0" collapsed="false">
      <c r="A15" s="15"/>
      <c r="B15" s="16" t="str">
        <f aca="false">IF(C15="","",8)</f>
        <v/>
      </c>
      <c r="C15" s="17" t="str">
        <f aca="false">IFERROR(INDEX($K$6:$K$21,MATCH(8,$N$6:$N$21,0)),"")</f>
        <v/>
      </c>
      <c r="D15" s="18" t="str">
        <f aca="false">IFERROR(INDEX($M$6:$M$21,MATCH(8,$N$6:$N$21,0)),"")</f>
        <v/>
      </c>
      <c r="F15" s="19" t="n">
        <f aca="false">IF(G15="","",8)</f>
        <v>8</v>
      </c>
      <c r="G15" s="20" t="str">
        <f aca="false">IFERROR(INDEX($K$6:$K$21,MATCH(8,$O$6:$O$21,0)),"")</f>
        <v>[Estrutura Econômica e Fiscal] EST-05 – Receitas próprias / receita corrente (%)</v>
      </c>
      <c r="H15" s="21" t="n">
        <f aca="false">IFERROR(INDEX($M$6:$M$21,MATCH(8,$O$6:$O$21,0)),"")</f>
        <v>5.15</v>
      </c>
      <c r="K15" s="1" t="str">
        <f aca="false">Aux!B15</f>
        <v>[Comércio e Serviços] CS-02 – Variação do emprego formal em comércio e serviços em 5 anos (%)</v>
      </c>
      <c r="L15" s="1" t="str">
        <f aca="false">'Indicadores (F-W)'!AE15</f>
        <v>Força</v>
      </c>
      <c r="M15" s="88" t="n">
        <f aca="false">IF('Indicadores (F-W)'!AD15="","",'Indicadores (F-W)'!AD15)</f>
        <v>158.22</v>
      </c>
      <c r="N15" s="1" t="n">
        <f aca="false">IF(L15="Força",COUNTIF(L$6:L15,"Força"),"")</f>
        <v>4</v>
      </c>
      <c r="O15" s="1" t="str">
        <f aca="false">IF(L15="Fraqueza",COUNTIF(L$6:L15,"Fraqueza"),"")</f>
        <v/>
      </c>
      <c r="Q15" s="1" t="str">
        <f aca="false">Aux!I15</f>
        <v>[Estrutura Econômica e Fiscal] AM-04 – Transição da Reforma Tributária (IBS/CBS) e efeitos sobre a repartição de receitas municipais</v>
      </c>
      <c r="R15" s="1" t="str">
        <f aca="false">Aux!J15</f>
        <v>Ameaça</v>
      </c>
      <c r="S15" s="1" t="n">
        <f aca="false">IF('Fatores Externos (O-A)'!N15="","",'Fatores Externos (O-A)'!N15)</f>
        <v>1</v>
      </c>
      <c r="T15" s="1" t="n">
        <f aca="false">IF(AND(R15="Oportunidade",ISNUMBER(S15)),IF(S15&gt;=Parâmetros!$B$5,1,0),0)</f>
        <v>0</v>
      </c>
      <c r="U15" s="1" t="str">
        <f aca="false">IF(T15=1,SUM(T$6:T15),"")</f>
        <v/>
      </c>
      <c r="V15" s="1" t="n">
        <f aca="false">IF(AND(R15="Ameaça",ISNUMBER(S15)),IF(S15&gt;=Parâmetros!$B$5,1,0),0)</f>
        <v>0</v>
      </c>
      <c r="W15" s="1" t="str">
        <f aca="false">IF(V15=1,SUM(V$6:V15),"")</f>
        <v/>
      </c>
    </row>
    <row r="16" customFormat="false" ht="30" hidden="false" customHeight="true" outlineLevel="0" collapsed="false">
      <c r="A16" s="15"/>
      <c r="B16" s="16" t="str">
        <f aca="false">IF(C16="","",9)</f>
        <v/>
      </c>
      <c r="C16" s="17" t="str">
        <f aca="false">IFERROR(INDEX($K$6:$K$21,MATCH(9,$N$6:$N$21,0)),"")</f>
        <v/>
      </c>
      <c r="D16" s="18" t="str">
        <f aca="false">IFERROR(INDEX($M$6:$M$21,MATCH(9,$N$6:$N$21,0)),"")</f>
        <v/>
      </c>
      <c r="F16" s="19" t="str">
        <f aca="false">IF(G16="","",9)</f>
        <v/>
      </c>
      <c r="G16" s="20" t="str">
        <f aca="false">IFERROR(INDEX($K$6:$K$21,MATCH(9,$O$6:$O$21,0)),"")</f>
        <v/>
      </c>
      <c r="H16" s="21" t="str">
        <f aca="false">IFERROR(INDEX($M$6:$M$21,MATCH(9,$O$6:$O$21,0)),"")</f>
        <v/>
      </c>
      <c r="K16" s="1" t="str">
        <f aca="false">Aux!B16</f>
        <v>[Comércio e Serviços] CS-03 – Empresas e outras organizações ativas por mil habitantes (un./mil hab.)</v>
      </c>
      <c r="L16" s="1" t="str">
        <f aca="false">'Indicadores (F-W)'!AE16</f>
        <v>Fraqueza</v>
      </c>
      <c r="M16" s="88" t="n">
        <f aca="false">IF('Indicadores (F-W)'!AD16="","",'Indicadores (F-W)'!AD16)</f>
        <v>14.51</v>
      </c>
      <c r="N16" s="1" t="str">
        <f aca="false">IF(L16="Força",COUNTIF(L$6:L16,"Força"),"")</f>
        <v/>
      </c>
      <c r="O16" s="1" t="n">
        <f aca="false">IF(L16="Fraqueza",COUNTIF(L$6:L16,"Fraqueza"),"")</f>
        <v>3</v>
      </c>
      <c r="Q16" s="1" t="str">
        <f aca="false">Aux!I16</f>
        <v>[Comércio e Serviços] AM-05 – Polarização regional por centros maiores (evasão de consumo, serviços e mão de obra)</v>
      </c>
      <c r="R16" s="1" t="str">
        <f aca="false">Aux!J16</f>
        <v>Ameaça</v>
      </c>
      <c r="S16" s="1" t="n">
        <f aca="false">IF('Fatores Externos (O-A)'!N16="","",'Fatores Externos (O-A)'!N16)</f>
        <v>3</v>
      </c>
      <c r="T16" s="1" t="n">
        <f aca="false">IF(AND(R16="Oportunidade",ISNUMBER(S16)),IF(S16&gt;=Parâmetros!$B$5,1,0),0)</f>
        <v>0</v>
      </c>
      <c r="U16" s="1" t="str">
        <f aca="false">IF(T16=1,SUM(T$6:T16),"")</f>
        <v/>
      </c>
      <c r="V16" s="1" t="n">
        <f aca="false">IF(AND(R16="Ameaça",ISNUMBER(S16)),IF(S16&gt;=Parâmetros!$B$5,1,0),0)</f>
        <v>1</v>
      </c>
      <c r="W16" s="1" t="n">
        <f aca="false">IF(V16=1,SUM(V$6:V16),"")</f>
        <v>3</v>
      </c>
    </row>
    <row r="17" customFormat="false" ht="30" hidden="false" customHeight="true" outlineLevel="0" collapsed="false">
      <c r="A17" s="15"/>
      <c r="B17" s="16" t="str">
        <f aca="false">IF(C17="","",10)</f>
        <v/>
      </c>
      <c r="C17" s="17" t="str">
        <f aca="false">IFERROR(INDEX($K$6:$K$21,MATCH(10,$N$6:$N$21,0)),"")</f>
        <v/>
      </c>
      <c r="D17" s="18" t="str">
        <f aca="false">IFERROR(INDEX($M$6:$M$21,MATCH(10,$N$6:$N$21,0)),"")</f>
        <v/>
      </c>
      <c r="F17" s="19" t="str">
        <f aca="false">IF(G17="","",10)</f>
        <v/>
      </c>
      <c r="G17" s="20" t="str">
        <f aca="false">IFERROR(INDEX($K$6:$K$21,MATCH(10,$O$6:$O$21,0)),"")</f>
        <v/>
      </c>
      <c r="H17" s="21" t="str">
        <f aca="false">IFERROR(INDEX($M$6:$M$21,MATCH(10,$O$6:$O$21,0)),"")</f>
        <v/>
      </c>
      <c r="K17" s="1" t="str">
        <f aca="false">Aux!B17</f>
        <v>[Estrutura Econômica e Fiscal] EST-01 – PIB per capita (R$)</v>
      </c>
      <c r="L17" s="1" t="str">
        <f aca="false">'Indicadores (F-W)'!AE17</f>
        <v>Fraqueza</v>
      </c>
      <c r="M17" s="89" t="n">
        <f aca="false">IF('Indicadores (F-W)'!AD17="","",'Indicadores (F-W)'!AD17)</f>
        <v>33510.51</v>
      </c>
      <c r="N17" s="1" t="str">
        <f aca="false">IF(L17="Força",COUNTIF(L$6:L17,"Força"),"")</f>
        <v/>
      </c>
      <c r="O17" s="1" t="n">
        <f aca="false">IF(L17="Fraqueza",COUNTIF(L$6:L17,"Fraqueza"),"")</f>
        <v>4</v>
      </c>
    </row>
    <row r="18" customFormat="false" ht="30" hidden="false" customHeight="true" outlineLevel="0" collapsed="false">
      <c r="A18" s="15"/>
      <c r="B18" s="16" t="str">
        <f aca="false">IF(C18="","",11)</f>
        <v/>
      </c>
      <c r="C18" s="17" t="str">
        <f aca="false">IFERROR(INDEX($K$6:$K$21,MATCH(11,$N$6:$N$21,0)),"")</f>
        <v/>
      </c>
      <c r="D18" s="18" t="str">
        <f aca="false">IFERROR(INDEX($M$6:$M$21,MATCH(11,$N$6:$N$21,0)),"")</f>
        <v/>
      </c>
      <c r="F18" s="19" t="str">
        <f aca="false">IF(G18="","",11)</f>
        <v/>
      </c>
      <c r="G18" s="20" t="str">
        <f aca="false">IFERROR(INDEX($K$6:$K$21,MATCH(11,$O$6:$O$21,0)),"")</f>
        <v/>
      </c>
      <c r="H18" s="21" t="str">
        <f aca="false">IFERROR(INDEX($M$6:$M$21,MATCH(11,$O$6:$O$21,0)),"")</f>
        <v/>
      </c>
      <c r="K18" s="1" t="str">
        <f aca="false">Aux!B18</f>
        <v>[Estrutura Econômica e Fiscal] EST-02 – Participação da administração pública no VAB total (%)</v>
      </c>
      <c r="L18" s="1" t="str">
        <f aca="false">'Indicadores (F-W)'!AE18</f>
        <v>Fraqueza</v>
      </c>
      <c r="M18" s="90" t="n">
        <f aca="false">IF('Indicadores (F-W)'!AD18="","",'Indicadores (F-W)'!AD18)</f>
        <v>24.97</v>
      </c>
      <c r="N18" s="1" t="str">
        <f aca="false">IF(L18="Força",COUNTIF(L$6:L18,"Força"),"")</f>
        <v/>
      </c>
      <c r="O18" s="1" t="n">
        <f aca="false">IF(L18="Fraqueza",COUNTIF(L$6:L18,"Fraqueza"),"")</f>
        <v>5</v>
      </c>
    </row>
    <row r="19" customFormat="false" ht="30" hidden="false" customHeight="true" outlineLevel="0" collapsed="false">
      <c r="A19" s="15"/>
      <c r="B19" s="16" t="str">
        <f aca="false">IF(C19="","",12)</f>
        <v/>
      </c>
      <c r="C19" s="17" t="str">
        <f aca="false">IFERROR(INDEX($K$6:$K$21,MATCH(12,$N$6:$N$21,0)),"")</f>
        <v/>
      </c>
      <c r="D19" s="18" t="str">
        <f aca="false">IFERROR(INDEX($M$6:$M$21,MATCH(12,$N$6:$N$21,0)),"")</f>
        <v/>
      </c>
      <c r="F19" s="19" t="str">
        <f aca="false">IF(G19="","",12)</f>
        <v/>
      </c>
      <c r="G19" s="20" t="str">
        <f aca="false">IFERROR(INDEX($K$6:$K$21,MATCH(12,$O$6:$O$21,0)),"")</f>
        <v/>
      </c>
      <c r="H19" s="21" t="str">
        <f aca="false">IFERROR(INDEX($M$6:$M$21,MATCH(12,$O$6:$O$21,0)),"")</f>
        <v/>
      </c>
      <c r="K19" s="1" t="str">
        <f aca="false">Aux!B19</f>
        <v>[Estrutura Econômica e Fiscal] EST-03 – Vínculos formais por 100 habitantes (vínculos/100 hab.)</v>
      </c>
      <c r="L19" s="1" t="str">
        <f aca="false">'Indicadores (F-W)'!AE19</f>
        <v>Fraqueza</v>
      </c>
      <c r="M19" s="88" t="n">
        <f aca="false">IF('Indicadores (F-W)'!AD19="","",'Indicadores (F-W)'!AD19)</f>
        <v>24.35</v>
      </c>
      <c r="N19" s="1" t="str">
        <f aca="false">IF(L19="Força",COUNTIF(L$6:L19,"Força"),"")</f>
        <v/>
      </c>
      <c r="O19" s="1" t="n">
        <f aca="false">IF(L19="Fraqueza",COUNTIF(L$6:L19,"Fraqueza"),"")</f>
        <v>6</v>
      </c>
    </row>
    <row r="20" customFormat="false" ht="15" hidden="false" customHeight="true" outlineLevel="0" collapsed="false">
      <c r="C20" s="22" t="str">
        <f aca="false">IF(COUNTIF($L$6:$L$21,"Força")&gt;12,"+ "&amp;(COUNTIF($L$6:$L$21,"Força")-12)&amp;" item(ns) não exibido(s)","")</f>
        <v/>
      </c>
      <c r="G20" s="22" t="str">
        <f aca="false">IF(COUNTIF($L$6:$L$21,"Fraqueza")&gt;12,"+ "&amp;(COUNTIF($L$6:$L$21,"Fraqueza")-12)&amp;" item(ns) não exibido(s)","")</f>
        <v/>
      </c>
      <c r="K20" s="1" t="str">
        <f aca="false">Aux!B20</f>
        <v>[Estrutura Econômica e Fiscal] EST-04 – Concentração setorial do emprego formal (HHI por seção CNAE) (índice 0–1)</v>
      </c>
      <c r="L20" s="1" t="str">
        <f aca="false">'Indicadores (F-W)'!AE20</f>
        <v>Fraqueza</v>
      </c>
      <c r="M20" s="93" t="n">
        <f aca="false">IF('Indicadores (F-W)'!AD20="","",'Indicadores (F-W)'!AD20)</f>
        <v>0.2738</v>
      </c>
      <c r="N20" s="1" t="str">
        <f aca="false">IF(L20="Força",COUNTIF(L$6:L20,"Força"),"")</f>
        <v/>
      </c>
      <c r="O20" s="1" t="n">
        <f aca="false">IF(L20="Fraqueza",COUNTIF(L$6:L20,"Fraqueza"),"")</f>
        <v>7</v>
      </c>
    </row>
    <row r="21" customFormat="false" ht="15" hidden="false" customHeight="true" outlineLevel="0" collapsed="false">
      <c r="K21" s="1" t="str">
        <f aca="false">Aux!B21</f>
        <v>[Estrutura Econômica e Fiscal] EST-05 – Receitas próprias / receita corrente (%)</v>
      </c>
      <c r="L21" s="1" t="str">
        <f aca="false">'Indicadores (F-W)'!AE21</f>
        <v>Fraqueza</v>
      </c>
      <c r="M21" s="88" t="n">
        <f aca="false">IF('Indicadores (F-W)'!AD21="","",'Indicadores (F-W)'!AD21)</f>
        <v>5.15</v>
      </c>
      <c r="N21" s="1" t="str">
        <f aca="false">IF(L21="Força",COUNTIF(L$6:L21,"Força"),"")</f>
        <v/>
      </c>
      <c r="O21" s="1" t="n">
        <f aca="false">IF(L21="Fraqueza",COUNTIF(L$6:L21,"Fraqueza"),"")</f>
        <v>8</v>
      </c>
    </row>
    <row r="22" customFormat="false" ht="15" hidden="false" customHeight="true" outlineLevel="0" collapsed="false">
      <c r="B22" s="23" t="str">
        <f aca="false">"OPORTUNIDADES (O) — "&amp;SUM($T$6:$T$16)&amp;" item(ns)"</f>
        <v>OPORTUNIDADES (O) — 4 item(ns)</v>
      </c>
      <c r="C22" s="23"/>
      <c r="D22" s="23"/>
      <c r="F22" s="24" t="str">
        <f aca="false">"AMEAÇAS (T) — "&amp;SUM($V$6:$V$16)&amp;" item(ns)"</f>
        <v>AMEAÇAS (T) — 3 item(ns)</v>
      </c>
      <c r="G22" s="24"/>
      <c r="H22" s="24"/>
    </row>
    <row r="23" customFormat="false" ht="15" hidden="false" customHeight="true" outlineLevel="0" collapsed="false">
      <c r="B23" s="25" t="s">
        <v>29</v>
      </c>
      <c r="C23" s="25" t="s">
        <v>30</v>
      </c>
      <c r="D23" s="25" t="s">
        <v>33</v>
      </c>
      <c r="F23" s="26" t="s">
        <v>29</v>
      </c>
      <c r="G23" s="26" t="s">
        <v>30</v>
      </c>
      <c r="H23" s="26" t="s">
        <v>33</v>
      </c>
    </row>
    <row r="24" customFormat="false" ht="30" hidden="false" customHeight="true" outlineLevel="0" collapsed="false">
      <c r="A24" s="15" t="s">
        <v>34</v>
      </c>
      <c r="B24" s="27" t="n">
        <f aca="false">IF(C24="","",1)</f>
        <v>1</v>
      </c>
      <c r="C24" s="28" t="str">
        <f aca="false">IFERROR(INDEX($Q$6:$Q$16,MATCH(1,$U$6:$U$16,0)),"")</f>
        <v>[Agropecuária] OP-01 – Demanda externa por carne bovina e proteína animal</v>
      </c>
      <c r="D24" s="29" t="n">
        <f aca="false">IFERROR(INDEX($S$6:$S$16,MATCH(1,$U$6:$U$16,0)),"")</f>
        <v>2</v>
      </c>
      <c r="F24" s="30" t="n">
        <f aca="false">IF(G24="","",1)</f>
        <v>1</v>
      </c>
      <c r="G24" s="31" t="str">
        <f aca="false">IFERROR(INDEX($Q$6:$Q$16,MATCH(1,$W$6:$W$16,0)),"")</f>
        <v>[Agropecuária] AM-01 – Eventos climáticos extremos: secas prolongadas e incêndios no Pantanal</v>
      </c>
      <c r="H24" s="32" t="n">
        <f aca="false">IFERROR(INDEX($S$6:$S$16,MATCH(1,$W$6:$W$16,0)),"")</f>
        <v>2</v>
      </c>
    </row>
    <row r="25" customFormat="false" ht="30" hidden="false" customHeight="true" outlineLevel="0" collapsed="false">
      <c r="A25" s="15"/>
      <c r="B25" s="27" t="n">
        <f aca="false">IF(C25="","",2)</f>
        <v>2</v>
      </c>
      <c r="C25" s="28" t="str">
        <f aca="false">IFERROR(INDEX($Q$6:$Q$16,MATCH(2,$U$6:$U$16,0)),"")</f>
        <v>[Agropecuária] OP-02 – Mercados para produtos diferenciados e certificados (carne sustentável/orgânica, origem Pantanal)</v>
      </c>
      <c r="D25" s="29" t="n">
        <f aca="false">IFERROR(INDEX($S$6:$S$16,MATCH(2,$U$6:$U$16,0)),"")</f>
        <v>2</v>
      </c>
      <c r="F25" s="30" t="n">
        <f aca="false">IF(G25="","",2)</f>
        <v>2</v>
      </c>
      <c r="G25" s="31" t="str">
        <f aca="false">IFERROR(INDEX($Q$6:$Q$16,MATCH(2,$W$6:$W$16,0)),"")</f>
        <v>[Agropecuária] AM-02 – Volatilidade de preços de commodities (boi gordo, soja, milho)</v>
      </c>
      <c r="H25" s="32" t="n">
        <f aca="false">IFERROR(INDEX($S$6:$S$16,MATCH(2,$W$6:$W$16,0)),"")</f>
        <v>2</v>
      </c>
    </row>
    <row r="26" customFormat="false" ht="30" hidden="false" customHeight="true" outlineLevel="0" collapsed="false">
      <c r="A26" s="15"/>
      <c r="B26" s="27" t="n">
        <f aca="false">IF(C26="","",3)</f>
        <v>3</v>
      </c>
      <c r="C26" s="28" t="str">
        <f aca="false">IFERROR(INDEX($Q$6:$Q$16,MATCH(3,$U$6:$U$16,0)),"")</f>
        <v>[Estrutura Econômica e Fiscal] OP-05 – Corredores logísticos (rodovias federais, ferrovia, hidrovia do Paraguai)</v>
      </c>
      <c r="D26" s="29" t="n">
        <f aca="false">IFERROR(INDEX($S$6:$S$16,MATCH(3,$U$6:$U$16,0)),"")</f>
        <v>2</v>
      </c>
      <c r="F26" s="30" t="n">
        <f aca="false">IF(G26="","",3)</f>
        <v>3</v>
      </c>
      <c r="G26" s="31" t="str">
        <f aca="false">IFERROR(INDEX($Q$6:$Q$16,MATCH(3,$W$6:$W$16,0)),"")</f>
        <v>[Comércio e Serviços] AM-05 – Polarização regional por centros maiores (evasão de consumo, serviços e mão de obra)</v>
      </c>
      <c r="H26" s="32" t="n">
        <f aca="false">IFERROR(INDEX($S$6:$S$16,MATCH(3,$W$6:$W$16,0)),"")</f>
        <v>3</v>
      </c>
    </row>
    <row r="27" customFormat="false" ht="30" hidden="false" customHeight="true" outlineLevel="0" collapsed="false">
      <c r="A27" s="15"/>
      <c r="B27" s="27" t="n">
        <f aca="false">IF(C27="","",4)</f>
        <v>4</v>
      </c>
      <c r="C27" s="28" t="str">
        <f aca="false">IFERROR(INDEX($Q$6:$Q$16,MATCH(4,$U$6:$U$16,0)),"")</f>
        <v>[Estrutura Econômica e Fiscal] OP-06 – Instrumentos de fomento e financiamento (FCO, crédito rural, PSA, mercado de carbono)</v>
      </c>
      <c r="D27" s="29" t="n">
        <f aca="false">IFERROR(INDEX($S$6:$S$16,MATCH(4,$U$6:$U$16,0)),"")</f>
        <v>2</v>
      </c>
      <c r="F27" s="30" t="str">
        <f aca="false">IF(G27="","",4)</f>
        <v/>
      </c>
      <c r="G27" s="31" t="str">
        <f aca="false">IFERROR(INDEX($Q$6:$Q$16,MATCH(4,$W$6:$W$16,0)),"")</f>
        <v/>
      </c>
      <c r="H27" s="32" t="str">
        <f aca="false">IFERROR(INDEX($S$6:$S$16,MATCH(4,$W$6:$W$16,0)),"")</f>
        <v/>
      </c>
    </row>
    <row r="28" customFormat="false" ht="30" hidden="false" customHeight="true" outlineLevel="0" collapsed="false">
      <c r="A28" s="15"/>
      <c r="B28" s="27" t="str">
        <f aca="false">IF(C28="","",5)</f>
        <v/>
      </c>
      <c r="C28" s="28" t="str">
        <f aca="false">IFERROR(INDEX($Q$6:$Q$16,MATCH(5,$U$6:$U$16,0)),"")</f>
        <v/>
      </c>
      <c r="D28" s="29" t="str">
        <f aca="false">IFERROR(INDEX($S$6:$S$16,MATCH(5,$U$6:$U$16,0)),"")</f>
        <v/>
      </c>
      <c r="F28" s="30" t="str">
        <f aca="false">IF(G28="","",5)</f>
        <v/>
      </c>
      <c r="G28" s="31" t="str">
        <f aca="false">IFERROR(INDEX($Q$6:$Q$16,MATCH(5,$W$6:$W$16,0)),"")</f>
        <v/>
      </c>
      <c r="H28" s="32" t="str">
        <f aca="false">IFERROR(INDEX($S$6:$S$16,MATCH(5,$W$6:$W$16,0)),"")</f>
        <v/>
      </c>
    </row>
    <row r="29" customFormat="false" ht="30" hidden="false" customHeight="true" outlineLevel="0" collapsed="false">
      <c r="A29" s="15"/>
      <c r="B29" s="27" t="str">
        <f aca="false">IF(C29="","",6)</f>
        <v/>
      </c>
      <c r="C29" s="28" t="str">
        <f aca="false">IFERROR(INDEX($Q$6:$Q$16,MATCH(6,$U$6:$U$16,0)),"")</f>
        <v/>
      </c>
      <c r="D29" s="29" t="str">
        <f aca="false">IFERROR(INDEX($S$6:$S$16,MATCH(6,$U$6:$U$16,0)),"")</f>
        <v/>
      </c>
      <c r="F29" s="30" t="str">
        <f aca="false">IF(G29="","",6)</f>
        <v/>
      </c>
      <c r="G29" s="31" t="str">
        <f aca="false">IFERROR(INDEX($Q$6:$Q$16,MATCH(6,$W$6:$W$16,0)),"")</f>
        <v/>
      </c>
      <c r="H29" s="32" t="str">
        <f aca="false">IFERROR(INDEX($S$6:$S$16,MATCH(6,$W$6:$W$16,0)),"")</f>
        <v/>
      </c>
    </row>
    <row r="30" customFormat="false" ht="30" hidden="false" customHeight="true" outlineLevel="0" collapsed="false">
      <c r="A30" s="15"/>
      <c r="B30" s="27" t="str">
        <f aca="false">IF(C30="","",7)</f>
        <v/>
      </c>
      <c r="C30" s="28" t="str">
        <f aca="false">IFERROR(INDEX($Q$6:$Q$16,MATCH(7,$U$6:$U$16,0)),"")</f>
        <v/>
      </c>
      <c r="D30" s="29" t="str">
        <f aca="false">IFERROR(INDEX($S$6:$S$16,MATCH(7,$U$6:$U$16,0)),"")</f>
        <v/>
      </c>
      <c r="F30" s="30" t="str">
        <f aca="false">IF(G30="","",7)</f>
        <v/>
      </c>
      <c r="G30" s="31" t="str">
        <f aca="false">IFERROR(INDEX($Q$6:$Q$16,MATCH(7,$W$6:$W$16,0)),"")</f>
        <v/>
      </c>
      <c r="H30" s="32" t="str">
        <f aca="false">IFERROR(INDEX($S$6:$S$16,MATCH(7,$W$6:$W$16,0)),"")</f>
        <v/>
      </c>
    </row>
    <row r="31" customFormat="false" ht="30" hidden="false" customHeight="true" outlineLevel="0" collapsed="false">
      <c r="A31" s="15"/>
      <c r="B31" s="27" t="str">
        <f aca="false">IF(C31="","",8)</f>
        <v/>
      </c>
      <c r="C31" s="28" t="str">
        <f aca="false">IFERROR(INDEX($Q$6:$Q$16,MATCH(8,$U$6:$U$16,0)),"")</f>
        <v/>
      </c>
      <c r="D31" s="29" t="str">
        <f aca="false">IFERROR(INDEX($S$6:$S$16,MATCH(8,$U$6:$U$16,0)),"")</f>
        <v/>
      </c>
      <c r="F31" s="30" t="str">
        <f aca="false">IF(G31="","",8)</f>
        <v/>
      </c>
      <c r="G31" s="31" t="str">
        <f aca="false">IFERROR(INDEX($Q$6:$Q$16,MATCH(8,$W$6:$W$16,0)),"")</f>
        <v/>
      </c>
      <c r="H31" s="32" t="str">
        <f aca="false">IFERROR(INDEX($S$6:$S$16,MATCH(8,$W$6:$W$16,0)),"")</f>
        <v/>
      </c>
    </row>
    <row r="32" customFormat="false" ht="30" hidden="false" customHeight="true" outlineLevel="0" collapsed="false">
      <c r="A32" s="15"/>
      <c r="B32" s="27" t="str">
        <f aca="false">IF(C32="","",9)</f>
        <v/>
      </c>
      <c r="C32" s="28" t="str">
        <f aca="false">IFERROR(INDEX($Q$6:$Q$16,MATCH(9,$U$6:$U$16,0)),"")</f>
        <v/>
      </c>
      <c r="D32" s="29" t="str">
        <f aca="false">IFERROR(INDEX($S$6:$S$16,MATCH(9,$U$6:$U$16,0)),"")</f>
        <v/>
      </c>
      <c r="F32" s="30" t="str">
        <f aca="false">IF(G32="","",9)</f>
        <v/>
      </c>
      <c r="G32" s="31" t="str">
        <f aca="false">IFERROR(INDEX($Q$6:$Q$16,MATCH(9,$W$6:$W$16,0)),"")</f>
        <v/>
      </c>
      <c r="H32" s="32" t="str">
        <f aca="false">IFERROR(INDEX($S$6:$S$16,MATCH(9,$W$6:$W$16,0)),"")</f>
        <v/>
      </c>
    </row>
    <row r="33" customFormat="false" ht="30" hidden="false" customHeight="true" outlineLevel="0" collapsed="false">
      <c r="A33" s="15"/>
      <c r="B33" s="27" t="str">
        <f aca="false">IF(C33="","",10)</f>
        <v/>
      </c>
      <c r="C33" s="28" t="str">
        <f aca="false">IFERROR(INDEX($Q$6:$Q$16,MATCH(10,$U$6:$U$16,0)),"")</f>
        <v/>
      </c>
      <c r="D33" s="29" t="str">
        <f aca="false">IFERROR(INDEX($S$6:$S$16,MATCH(10,$U$6:$U$16,0)),"")</f>
        <v/>
      </c>
      <c r="F33" s="30" t="str">
        <f aca="false">IF(G33="","",10)</f>
        <v/>
      </c>
      <c r="G33" s="31" t="str">
        <f aca="false">IFERROR(INDEX($Q$6:$Q$16,MATCH(10,$W$6:$W$16,0)),"")</f>
        <v/>
      </c>
      <c r="H33" s="32" t="str">
        <f aca="false">IFERROR(INDEX($S$6:$S$16,MATCH(10,$W$6:$W$16,0)),"")</f>
        <v/>
      </c>
    </row>
    <row r="34" customFormat="false" ht="30" hidden="false" customHeight="true" outlineLevel="0" collapsed="false">
      <c r="A34" s="15"/>
      <c r="B34" s="27" t="str">
        <f aca="false">IF(C34="","",11)</f>
        <v/>
      </c>
      <c r="C34" s="28" t="str">
        <f aca="false">IFERROR(INDEX($Q$6:$Q$16,MATCH(11,$U$6:$U$16,0)),"")</f>
        <v/>
      </c>
      <c r="D34" s="29" t="str">
        <f aca="false">IFERROR(INDEX($S$6:$S$16,MATCH(11,$U$6:$U$16,0)),"")</f>
        <v/>
      </c>
      <c r="F34" s="30" t="str">
        <f aca="false">IF(G34="","",11)</f>
        <v/>
      </c>
      <c r="G34" s="31" t="str">
        <f aca="false">IFERROR(INDEX($Q$6:$Q$16,MATCH(11,$W$6:$W$16,0)),"")</f>
        <v/>
      </c>
      <c r="H34" s="32" t="str">
        <f aca="false">IFERROR(INDEX($S$6:$S$16,MATCH(11,$W$6:$W$16,0)),"")</f>
        <v/>
      </c>
    </row>
    <row r="35" customFormat="false" ht="30" hidden="false" customHeight="true" outlineLevel="0" collapsed="false">
      <c r="A35" s="15"/>
      <c r="B35" s="27" t="str">
        <f aca="false">IF(C35="","",12)</f>
        <v/>
      </c>
      <c r="C35" s="28" t="str">
        <f aca="false">IFERROR(INDEX($Q$6:$Q$16,MATCH(12,$U$6:$U$16,0)),"")</f>
        <v/>
      </c>
      <c r="D35" s="29" t="str">
        <f aca="false">IFERROR(INDEX($S$6:$S$16,MATCH(12,$U$6:$U$16,0)),"")</f>
        <v/>
      </c>
      <c r="F35" s="30" t="str">
        <f aca="false">IF(G35="","",12)</f>
        <v/>
      </c>
      <c r="G35" s="31" t="str">
        <f aca="false">IFERROR(INDEX($Q$6:$Q$16,MATCH(12,$W$6:$W$16,0)),"")</f>
        <v/>
      </c>
      <c r="H35" s="32" t="str">
        <f aca="false">IFERROR(INDEX($S$6:$S$16,MATCH(12,$W$6:$W$16,0)),"")</f>
        <v/>
      </c>
    </row>
    <row r="36" customFormat="false" ht="15" hidden="false" customHeight="true" outlineLevel="0" collapsed="false">
      <c r="C36" s="22" t="str">
        <f aca="false">IF(SUM($T$6:$T$16)&gt;12,"+ "&amp;(SUM($T$6:$T$16)-12)&amp;" item(ns) não exibido(s)","")</f>
        <v/>
      </c>
      <c r="G36" s="22" t="str">
        <f aca="false">IF(SUM($V$6:$V$16)&gt;12,"+ "&amp;(SUM($V$6:$V$16)-12)&amp;" item(ns) não exibido(s)","")</f>
        <v/>
      </c>
    </row>
    <row r="38" customFormat="false" ht="15" hidden="false" customHeight="true" outlineLevel="0" collapsed="false">
      <c r="B38" s="33" t="s">
        <v>329</v>
      </c>
    </row>
  </sheetData>
  <mergeCells count="8">
    <mergeCell ref="B5:D5"/>
    <mergeCell ref="F5:H5"/>
    <mergeCell ref="B6:D6"/>
    <mergeCell ref="F6:H6"/>
    <mergeCell ref="A8:A19"/>
    <mergeCell ref="B22:D22"/>
    <mergeCell ref="F22:H22"/>
    <mergeCell ref="A24:A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W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"/>
    <col collapsed="false" customWidth="true" hidden="false" outlineLevel="0" max="3" min="3" style="1" width="55"/>
    <col collapsed="false" customWidth="true" hidden="false" outlineLevel="0" max="4" min="4" style="1" width="12"/>
    <col collapsed="false" customWidth="true" hidden="false" outlineLevel="0" max="5" min="5" style="1" width="2"/>
    <col collapsed="false" customWidth="true" hidden="false" outlineLevel="0" max="6" min="6" style="1" width="5"/>
    <col collapsed="false" customWidth="true" hidden="false" outlineLevel="0" max="7" min="7" style="1" width="55"/>
    <col collapsed="false" customWidth="true" hidden="false" outlineLevel="0" max="8" min="8" style="1" width="12"/>
    <col collapsed="false" customWidth="true" hidden="true" outlineLevel="0" max="23" min="11" style="1" width="13"/>
  </cols>
  <sheetData>
    <row r="1" customFormat="false" ht="17.25" hidden="false" customHeight="true" outlineLevel="0" collapsed="false">
      <c r="B1" s="91" t="s">
        <v>338</v>
      </c>
    </row>
    <row r="2" customFormat="false" ht="15" hidden="false" customHeight="true" outlineLevel="0" collapsed="false">
      <c r="B2" s="9" t="s">
        <v>328</v>
      </c>
    </row>
    <row r="3" customFormat="false" ht="15" hidden="false" customHeight="true" outlineLevel="0" collapsed="false">
      <c r="B3" s="92" t="str">
        <f aca="false">"Indicadores internos com dado: "&amp;(COUNTA(L6:L21)-COUNTBLANK(L6:L21))&amp;" de 16  |  Neutros: "&amp;COUNTIF(L6:L21,"Neutro")&amp;"  |  Fatores externos pontuados: "&amp;COUNT(S6:S16)&amp;" de 11"</f>
        <v>Indicadores internos com dado: 14 de 16  |  Neutros: 2  |  Fatores externos pontuados: 11 de 11</v>
      </c>
    </row>
    <row r="5" customFormat="false" ht="15" hidden="false" customHeight="true" outlineLevel="0" collapsed="false">
      <c r="B5" s="10" t="s">
        <v>27</v>
      </c>
      <c r="C5" s="10"/>
      <c r="D5" s="10"/>
      <c r="F5" s="10" t="s">
        <v>28</v>
      </c>
      <c r="G5" s="10"/>
      <c r="H5" s="10"/>
    </row>
    <row r="6" customFormat="false" ht="15" hidden="false" customHeight="true" outlineLevel="0" collapsed="false">
      <c r="B6" s="11" t="str">
        <f aca="false">"FORÇAS (S) — "&amp;COUNTIF($L$6:$L$21,"Força")&amp;" item(ns)"</f>
        <v>FORÇAS (S) — 1 item(ns)</v>
      </c>
      <c r="C6" s="11"/>
      <c r="D6" s="11"/>
      <c r="F6" s="12" t="str">
        <f aca="false">"FRAQUEZAS (W) — "&amp;COUNTIF($L$6:$L$21,"Fraqueza")&amp;" item(ns)"</f>
        <v>FRAQUEZAS (W) — 11 item(ns)</v>
      </c>
      <c r="G6" s="12"/>
      <c r="H6" s="12"/>
      <c r="K6" s="1" t="str">
        <f aca="false">Aux!B6</f>
        <v>[Agropecuária] AGR-01 – Quociente locacional do VAB agropecuário (base MT) (índice)</v>
      </c>
      <c r="L6" s="1" t="str">
        <f aca="false">'Indicadores (F-W)'!AG6</f>
        <v>Fraqueza</v>
      </c>
      <c r="M6" s="87" t="n">
        <f aca="false">IF('Indicadores (F-W)'!AF6="","",'Indicadores (F-W)'!AF6)</f>
        <v>0.5066</v>
      </c>
      <c r="N6" s="1" t="str">
        <f aca="false">IF(L6="Força",COUNTIF(L$6:L6,"Força"),"")</f>
        <v/>
      </c>
      <c r="O6" s="1" t="n">
        <f aca="false">IF(L6="Fraqueza",COUNTIF(L$6:L6,"Fraqueza"),"")</f>
        <v>1</v>
      </c>
      <c r="Q6" s="1" t="str">
        <f aca="false">Aux!I6</f>
        <v>[Agropecuária] OP-01 – Demanda externa por carne bovina e proteína animal</v>
      </c>
      <c r="R6" s="1" t="str">
        <f aca="false">Aux!J6</f>
        <v>Oportunidade</v>
      </c>
      <c r="S6" s="1" t="n">
        <f aca="false">IF('Fatores Externos (O-A)'!O6="","",'Fatores Externos (O-A)'!O6)</f>
        <v>2</v>
      </c>
      <c r="T6" s="1" t="n">
        <f aca="false">IF(AND(R6="Oportunidade",ISNUMBER(S6)),IF(S6&gt;=Parâmetros!$B$5,1,0),0)</f>
        <v>1</v>
      </c>
      <c r="U6" s="1" t="n">
        <f aca="false">IF(T6=1,SUM(T$6:T6),"")</f>
        <v>1</v>
      </c>
      <c r="V6" s="1" t="n">
        <f aca="false">IF(AND(R6="Ameaça",ISNUMBER(S6)),IF(S6&gt;=Parâmetros!$B$5,1,0),0)</f>
        <v>0</v>
      </c>
      <c r="W6" s="1" t="str">
        <f aca="false">IF(V6=1,SUM(V$6:V6),"")</f>
        <v/>
      </c>
    </row>
    <row r="7" customFormat="false" ht="15" hidden="false" customHeight="true" outlineLevel="0" collapsed="false">
      <c r="B7" s="13" t="s">
        <v>29</v>
      </c>
      <c r="C7" s="13" t="s">
        <v>30</v>
      </c>
      <c r="D7" s="13" t="s">
        <v>31</v>
      </c>
      <c r="F7" s="14" t="s">
        <v>29</v>
      </c>
      <c r="G7" s="14" t="s">
        <v>30</v>
      </c>
      <c r="H7" s="14" t="s">
        <v>31</v>
      </c>
      <c r="K7" s="1" t="str">
        <f aca="false">Aux!B7</f>
        <v>[Agropecuária] AGR-02 – Valor da produção das lavouras por área colhida (R$/ha)</v>
      </c>
      <c r="L7" s="1" t="str">
        <f aca="false">'Indicadores (F-W)'!AG7</f>
        <v>Neutro</v>
      </c>
      <c r="M7" s="88" t="n">
        <f aca="false">IF('Indicadores (F-W)'!AF7="","",'Indicadores (F-W)'!AF7)</f>
        <v>5045</v>
      </c>
      <c r="N7" s="1" t="str">
        <f aca="false">IF(L7="Força",COUNTIF(L$6:L7,"Força"),"")</f>
        <v/>
      </c>
      <c r="O7" s="1" t="str">
        <f aca="false">IF(L7="Fraqueza",COUNTIF(L$6:L7,"Fraqueza"),"")</f>
        <v/>
      </c>
      <c r="Q7" s="1" t="str">
        <f aca="false">Aux!I7</f>
        <v>[Agropecuária] OP-02 – Mercados para produtos diferenciados e certificados (carne sustentável/orgânica, origem Pantanal)</v>
      </c>
      <c r="R7" s="1" t="str">
        <f aca="false">Aux!J7</f>
        <v>Oportunidade</v>
      </c>
      <c r="S7" s="1" t="n">
        <f aca="false">IF('Fatores Externos (O-A)'!O7="","",'Fatores Externos (O-A)'!O7)</f>
        <v>3</v>
      </c>
      <c r="T7" s="1" t="n">
        <f aca="false">IF(AND(R7="Oportunidade",ISNUMBER(S7)),IF(S7&gt;=Parâmetros!$B$5,1,0),0)</f>
        <v>1</v>
      </c>
      <c r="U7" s="1" t="n">
        <f aca="false">IF(T7=1,SUM(T$6:T7),"")</f>
        <v>2</v>
      </c>
      <c r="V7" s="1" t="n">
        <f aca="false">IF(AND(R7="Ameaça",ISNUMBER(S7)),IF(S7&gt;=Parâmetros!$B$5,1,0),0)</f>
        <v>0</v>
      </c>
      <c r="W7" s="1" t="str">
        <f aca="false">IF(V7=1,SUM(V$6:V7),"")</f>
        <v/>
      </c>
    </row>
    <row r="8" customFormat="false" ht="30" hidden="false" customHeight="true" outlineLevel="0" collapsed="false">
      <c r="A8" s="15" t="s">
        <v>32</v>
      </c>
      <c r="B8" s="16" t="n">
        <f aca="false">IF(C8="","",1)</f>
        <v>1</v>
      </c>
      <c r="C8" s="17" t="str">
        <f aca="false">IFERROR(INDEX($K$6:$K$21,MATCH(1,$N$6:$N$21,0)),"")</f>
        <v>[Agropecuária] AGR-03 – Variação do efetivo bovino em 5 anos (%)</v>
      </c>
      <c r="D8" s="18" t="n">
        <f aca="false">IFERROR(INDEX($M$6:$M$21,MATCH(1,$N$6:$N$21,0)),"")</f>
        <v>16.79</v>
      </c>
      <c r="F8" s="19" t="n">
        <f aca="false">IF(G8="","",1)</f>
        <v>1</v>
      </c>
      <c r="G8" s="20" t="str">
        <f aca="false">IFERROR(INDEX($K$6:$K$21,MATCH(1,$O$6:$O$21,0)),"")</f>
        <v>[Agropecuária] AGR-01 – Quociente locacional do VAB agropecuário (base MT) (índice)</v>
      </c>
      <c r="H8" s="21" t="n">
        <f aca="false">IFERROR(INDEX($M$6:$M$21,MATCH(1,$O$6:$O$21,0)),"")</f>
        <v>0.5066</v>
      </c>
      <c r="K8" s="1" t="str">
        <f aca="false">Aux!B8</f>
        <v>[Agropecuária] AGR-03 – Variação do efetivo bovino em 5 anos (%)</v>
      </c>
      <c r="L8" s="1" t="str">
        <f aca="false">'Indicadores (F-W)'!AG8</f>
        <v>Força</v>
      </c>
      <c r="M8" s="88" t="n">
        <f aca="false">IF('Indicadores (F-W)'!AF8="","",'Indicadores (F-W)'!AF8)</f>
        <v>16.79</v>
      </c>
      <c r="N8" s="1" t="n">
        <f aca="false">IF(L8="Força",COUNTIF(L$6:L8,"Força"),"")</f>
        <v>1</v>
      </c>
      <c r="O8" s="1" t="str">
        <f aca="false">IF(L8="Fraqueza",COUNTIF(L$6:L8,"Fraqueza"),"")</f>
        <v/>
      </c>
      <c r="Q8" s="1" t="str">
        <f aca="false">Aux!I8</f>
        <v>[Comércio e Serviços] OP-03 – Expansão do turismo de natureza, pesca esportiva e ecoturismo</v>
      </c>
      <c r="R8" s="1" t="str">
        <f aca="false">Aux!J8</f>
        <v>Oportunidade</v>
      </c>
      <c r="S8" s="1" t="n">
        <f aca="false">IF('Fatores Externos (O-A)'!O8="","",'Fatores Externos (O-A)'!O8)</f>
        <v>3</v>
      </c>
      <c r="T8" s="1" t="n">
        <f aca="false">IF(AND(R8="Oportunidade",ISNUMBER(S8)),IF(S8&gt;=Parâmetros!$B$5,1,0),0)</f>
        <v>1</v>
      </c>
      <c r="U8" s="1" t="n">
        <f aca="false">IF(T8=1,SUM(T$6:T8),"")</f>
        <v>3</v>
      </c>
      <c r="V8" s="1" t="n">
        <f aca="false">IF(AND(R8="Ameaça",ISNUMBER(S8)),IF(S8&gt;=Parâmetros!$B$5,1,0),0)</f>
        <v>0</v>
      </c>
      <c r="W8" s="1" t="str">
        <f aca="false">IF(V8=1,SUM(V$6:V8),"")</f>
        <v/>
      </c>
    </row>
    <row r="9" customFormat="false" ht="30" hidden="false" customHeight="true" outlineLevel="0" collapsed="false">
      <c r="A9" s="15"/>
      <c r="B9" s="16" t="str">
        <f aca="false">IF(C9="","",2)</f>
        <v/>
      </c>
      <c r="C9" s="17" t="str">
        <f aca="false">IFERROR(INDEX($K$6:$K$21,MATCH(2,$N$6:$N$21,0)),"")</f>
        <v/>
      </c>
      <c r="D9" s="18" t="str">
        <f aca="false">IFERROR(INDEX($M$6:$M$21,MATCH(2,$N$6:$N$21,0)),"")</f>
        <v/>
      </c>
      <c r="F9" s="19" t="n">
        <f aca="false">IF(G9="","",2)</f>
        <v>2</v>
      </c>
      <c r="G9" s="20" t="str">
        <f aca="false">IFERROR(INDEX($K$6:$K$21,MATCH(2,$O$6:$O$21,0)),"")</f>
        <v>[Indústria] IND-01 – Quociente locacional do VAB industrial (base MT) (índice)</v>
      </c>
      <c r="H9" s="21" t="n">
        <f aca="false">IFERROR(INDEX($M$6:$M$21,MATCH(2,$O$6:$O$21,0)),"")</f>
        <v>0.5947</v>
      </c>
      <c r="K9" s="1" t="str">
        <f aca="false">Aux!B9</f>
        <v>[Agropecuária] AGR-04 – Estabelecimentos agropecuários que receberam assistência técnica (%)</v>
      </c>
      <c r="L9" s="1" t="str">
        <f aca="false">'Indicadores (F-W)'!AG9</f>
        <v/>
      </c>
      <c r="M9" s="1" t="str">
        <f aca="false">IF('Indicadores (F-W)'!AF9="","",'Indicadores (F-W)'!AF9)</f>
        <v/>
      </c>
      <c r="N9" s="1" t="str">
        <f aca="false">IF(L9="Força",COUNTIF(L$6:L9,"Força"),"")</f>
        <v/>
      </c>
      <c r="O9" s="1" t="str">
        <f aca="false">IF(L9="Fraqueza",COUNTIF(L$6:L9,"Fraqueza"),"")</f>
        <v/>
      </c>
      <c r="Q9" s="1" t="str">
        <f aca="false">Aux!I9</f>
        <v>[Indústria] OP-04 – Agroindustrialização e verticalização (frigoríficos, laticínios, sucroenergético)</v>
      </c>
      <c r="R9" s="1" t="str">
        <f aca="false">Aux!J9</f>
        <v>Oportunidade</v>
      </c>
      <c r="S9" s="1" t="n">
        <f aca="false">IF('Fatores Externos (O-A)'!O9="","",'Fatores Externos (O-A)'!O9)</f>
        <v>1</v>
      </c>
      <c r="T9" s="1" t="n">
        <f aca="false">IF(AND(R9="Oportunidade",ISNUMBER(S9)),IF(S9&gt;=Parâmetros!$B$5,1,0),0)</f>
        <v>0</v>
      </c>
      <c r="U9" s="1" t="str">
        <f aca="false">IF(T9=1,SUM(T$6:T9),"")</f>
        <v/>
      </c>
      <c r="V9" s="1" t="n">
        <f aca="false">IF(AND(R9="Ameaça",ISNUMBER(S9)),IF(S9&gt;=Parâmetros!$B$5,1,0),0)</f>
        <v>0</v>
      </c>
      <c r="W9" s="1" t="str">
        <f aca="false">IF(V9=1,SUM(V$6:V9),"")</f>
        <v/>
      </c>
    </row>
    <row r="10" customFormat="false" ht="30" hidden="false" customHeight="true" outlineLevel="0" collapsed="false">
      <c r="A10" s="15"/>
      <c r="B10" s="16" t="str">
        <f aca="false">IF(C10="","",3)</f>
        <v/>
      </c>
      <c r="C10" s="17" t="str">
        <f aca="false">IFERROR(INDEX($K$6:$K$21,MATCH(3,$N$6:$N$21,0)),"")</f>
        <v/>
      </c>
      <c r="D10" s="18" t="str">
        <f aca="false">IFERROR(INDEX($M$6:$M$21,MATCH(3,$N$6:$N$21,0)),"")</f>
        <v/>
      </c>
      <c r="F10" s="19" t="n">
        <f aca="false">IF(G10="","",3)</f>
        <v>3</v>
      </c>
      <c r="G10" s="20" t="str">
        <f aca="false">IFERROR(INDEX($K$6:$K$21,MATCH(3,$O$6:$O$21,0)),"")</f>
        <v>[Indústria] IND-02 – Variação do emprego formal na indústria em 5 anos (%)</v>
      </c>
      <c r="H10" s="21" t="n">
        <f aca="false">IFERROR(INDEX($M$6:$M$21,MATCH(3,$O$6:$O$21,0)),"")</f>
        <v>31.45</v>
      </c>
      <c r="K10" s="1" t="str">
        <f aca="false">Aux!B10</f>
        <v>[Agropecuária] AGR-05 – Diversificação agrícola (1 − HHI do valor da produção das lavouras) (índice 0–1)</v>
      </c>
      <c r="L10" s="1" t="str">
        <f aca="false">'Indicadores (F-W)'!AG10</f>
        <v/>
      </c>
      <c r="M10" s="1" t="str">
        <f aca="false">IF('Indicadores (F-W)'!AF10="","",'Indicadores (F-W)'!AF10)</f>
        <v/>
      </c>
      <c r="N10" s="1" t="str">
        <f aca="false">IF(L10="Força",COUNTIF(L$6:L10,"Força"),"")</f>
        <v/>
      </c>
      <c r="O10" s="1" t="str">
        <f aca="false">IF(L10="Fraqueza",COUNTIF(L$6:L10,"Fraqueza"),"")</f>
        <v/>
      </c>
      <c r="Q10" s="1" t="str">
        <f aca="false">Aux!I10</f>
        <v>[Estrutura Econômica e Fiscal] OP-05 – Corredores logísticos (rodovias federais, ferrovia, hidrovia do Paraguai)</v>
      </c>
      <c r="R10" s="1" t="str">
        <f aca="false">Aux!J10</f>
        <v>Oportunidade</v>
      </c>
      <c r="S10" s="1" t="n">
        <f aca="false">IF('Fatores Externos (O-A)'!O10="","",'Fatores Externos (O-A)'!O10)</f>
        <v>1</v>
      </c>
      <c r="T10" s="1" t="n">
        <f aca="false">IF(AND(R10="Oportunidade",ISNUMBER(S10)),IF(S10&gt;=Parâmetros!$B$5,1,0),0)</f>
        <v>0</v>
      </c>
      <c r="U10" s="1" t="str">
        <f aca="false">IF(T10=1,SUM(T$6:T10),"")</f>
        <v/>
      </c>
      <c r="V10" s="1" t="n">
        <f aca="false">IF(AND(R10="Ameaça",ISNUMBER(S10)),IF(S10&gt;=Parâmetros!$B$5,1,0),0)</f>
        <v>0</v>
      </c>
      <c r="W10" s="1" t="str">
        <f aca="false">IF(V10=1,SUM(V$6:V10),"")</f>
        <v/>
      </c>
    </row>
    <row r="11" customFormat="false" ht="30" hidden="false" customHeight="true" outlineLevel="0" collapsed="false">
      <c r="A11" s="15"/>
      <c r="B11" s="16" t="str">
        <f aca="false">IF(C11="","",4)</f>
        <v/>
      </c>
      <c r="C11" s="17" t="str">
        <f aca="false">IFERROR(INDEX($K$6:$K$21,MATCH(4,$N$6:$N$21,0)),"")</f>
        <v/>
      </c>
      <c r="D11" s="18" t="str">
        <f aca="false">IFERROR(INDEX($M$6:$M$21,MATCH(4,$N$6:$N$21,0)),"")</f>
        <v/>
      </c>
      <c r="F11" s="19" t="n">
        <f aca="false">IF(G11="","",4)</f>
        <v>4</v>
      </c>
      <c r="G11" s="20" t="str">
        <f aca="false">IFERROR(INDEX($K$6:$K$21,MATCH(4,$O$6:$O$21,0)),"")</f>
        <v>[Indústria] IND-03 – Remuneração média do emprego formal industrial (R$)</v>
      </c>
      <c r="H11" s="21" t="n">
        <f aca="false">IFERROR(INDEX($M$6:$M$21,MATCH(4,$O$6:$O$21,0)),"")</f>
        <v>2150.35</v>
      </c>
      <c r="K11" s="1" t="str">
        <f aca="false">Aux!B11</f>
        <v>[Indústria] IND-01 – Quociente locacional do VAB industrial (base MT) (índice)</v>
      </c>
      <c r="L11" s="1" t="str">
        <f aca="false">'Indicadores (F-W)'!AG11</f>
        <v>Fraqueza</v>
      </c>
      <c r="M11" s="87" t="n">
        <f aca="false">IF('Indicadores (F-W)'!AF11="","",'Indicadores (F-W)'!AF11)</f>
        <v>0.5947</v>
      </c>
      <c r="N11" s="1" t="str">
        <f aca="false">IF(L11="Força",COUNTIF(L$6:L11,"Força"),"")</f>
        <v/>
      </c>
      <c r="O11" s="1" t="n">
        <f aca="false">IF(L11="Fraqueza",COUNTIF(L$6:L11,"Fraqueza"),"")</f>
        <v>2</v>
      </c>
      <c r="Q11" s="1" t="str">
        <f aca="false">Aux!I11</f>
        <v>[Estrutura Econômica e Fiscal] OP-06 – Instrumentos de fomento e financiamento (FCO, crédito rural, PSA, mercado de carbono)</v>
      </c>
      <c r="R11" s="1" t="str">
        <f aca="false">Aux!J11</f>
        <v>Oportunidade</v>
      </c>
      <c r="S11" s="1" t="n">
        <f aca="false">IF('Fatores Externos (O-A)'!O11="","",'Fatores Externos (O-A)'!O11)</f>
        <v>2</v>
      </c>
      <c r="T11" s="1" t="n">
        <f aca="false">IF(AND(R11="Oportunidade",ISNUMBER(S11)),IF(S11&gt;=Parâmetros!$B$5,1,0),0)</f>
        <v>1</v>
      </c>
      <c r="U11" s="1" t="n">
        <f aca="false">IF(T11=1,SUM(T$6:T11),"")</f>
        <v>4</v>
      </c>
      <c r="V11" s="1" t="n">
        <f aca="false">IF(AND(R11="Ameaça",ISNUMBER(S11)),IF(S11&gt;=Parâmetros!$B$5,1,0),0)</f>
        <v>0</v>
      </c>
      <c r="W11" s="1" t="str">
        <f aca="false">IF(V11=1,SUM(V$6:V11),"")</f>
        <v/>
      </c>
    </row>
    <row r="12" customFormat="false" ht="30" hidden="false" customHeight="true" outlineLevel="0" collapsed="false">
      <c r="A12" s="15"/>
      <c r="B12" s="16" t="str">
        <f aca="false">IF(C12="","",5)</f>
        <v/>
      </c>
      <c r="C12" s="17" t="str">
        <f aca="false">IFERROR(INDEX($K$6:$K$21,MATCH(5,$N$6:$N$21,0)),"")</f>
        <v/>
      </c>
      <c r="D12" s="18" t="str">
        <f aca="false">IFERROR(INDEX($M$6:$M$21,MATCH(5,$N$6:$N$21,0)),"")</f>
        <v/>
      </c>
      <c r="F12" s="19" t="n">
        <f aca="false">IF(G12="","",5)</f>
        <v>5</v>
      </c>
      <c r="G12" s="20" t="str">
        <f aca="false">IFERROR(INDEX($K$6:$K$21,MATCH(5,$O$6:$O$21,0)),"")</f>
        <v>[Comércio e Serviços] CS-02 – Variação do emprego formal em comércio e serviços em 5 anos (%)</v>
      </c>
      <c r="H12" s="21" t="n">
        <f aca="false">IFERROR(INDEX($M$6:$M$21,MATCH(5,$O$6:$O$21,0)),"")</f>
        <v>30.43</v>
      </c>
      <c r="K12" s="1" t="str">
        <f aca="false">Aux!B12</f>
        <v>[Indústria] IND-02 – Variação do emprego formal na indústria em 5 anos (%)</v>
      </c>
      <c r="L12" s="1" t="str">
        <f aca="false">'Indicadores (F-W)'!AG12</f>
        <v>Fraqueza</v>
      </c>
      <c r="M12" s="88" t="n">
        <f aca="false">IF('Indicadores (F-W)'!AF12="","",'Indicadores (F-W)'!AF12)</f>
        <v>31.45</v>
      </c>
      <c r="N12" s="1" t="str">
        <f aca="false">IF(L12="Força",COUNTIF(L$6:L12,"Força"),"")</f>
        <v/>
      </c>
      <c r="O12" s="1" t="n">
        <f aca="false">IF(L12="Fraqueza",COUNTIF(L$6:L12,"Fraqueza"),"")</f>
        <v>3</v>
      </c>
      <c r="Q12" s="1" t="str">
        <f aca="false">Aux!I12</f>
        <v>[Agropecuária] AM-01 – Eventos climáticos extremos: secas prolongadas e incêndios no Pantanal</v>
      </c>
      <c r="R12" s="1" t="str">
        <f aca="false">Aux!J12</f>
        <v>Ameaça</v>
      </c>
      <c r="S12" s="1" t="n">
        <f aca="false">IF('Fatores Externos (O-A)'!O12="","",'Fatores Externos (O-A)'!O12)</f>
        <v>3</v>
      </c>
      <c r="T12" s="1" t="n">
        <f aca="false">IF(AND(R12="Oportunidade",ISNUMBER(S12)),IF(S12&gt;=Parâmetros!$B$5,1,0),0)</f>
        <v>0</v>
      </c>
      <c r="U12" s="1" t="str">
        <f aca="false">IF(T12=1,SUM(T$6:T12),"")</f>
        <v/>
      </c>
      <c r="V12" s="1" t="n">
        <f aca="false">IF(AND(R12="Ameaça",ISNUMBER(S12)),IF(S12&gt;=Parâmetros!$B$5,1,0),0)</f>
        <v>1</v>
      </c>
      <c r="W12" s="1" t="n">
        <f aca="false">IF(V12=1,SUM(V$6:V12),"")</f>
        <v>1</v>
      </c>
    </row>
    <row r="13" customFormat="false" ht="30" hidden="false" customHeight="true" outlineLevel="0" collapsed="false">
      <c r="A13" s="15"/>
      <c r="B13" s="16" t="str">
        <f aca="false">IF(C13="","",6)</f>
        <v/>
      </c>
      <c r="C13" s="17" t="str">
        <f aca="false">IFERROR(INDEX($K$6:$K$21,MATCH(6,$N$6:$N$21,0)),"")</f>
        <v/>
      </c>
      <c r="D13" s="18" t="str">
        <f aca="false">IFERROR(INDEX($M$6:$M$21,MATCH(6,$N$6:$N$21,0)),"")</f>
        <v/>
      </c>
      <c r="F13" s="19" t="n">
        <f aca="false">IF(G13="","",6)</f>
        <v>6</v>
      </c>
      <c r="G13" s="20" t="str">
        <f aca="false">IFERROR(INDEX($K$6:$K$21,MATCH(6,$O$6:$O$21,0)),"")</f>
        <v>[Comércio e Serviços] CS-03 – Empresas e outras organizações ativas por mil habitantes (un./mil hab.)</v>
      </c>
      <c r="H13" s="21" t="n">
        <f aca="false">IFERROR(INDEX($M$6:$M$21,MATCH(6,$O$6:$O$21,0)),"")</f>
        <v>16.35</v>
      </c>
      <c r="K13" s="1" t="str">
        <f aca="false">Aux!B13</f>
        <v>[Indústria] IND-03 – Remuneração média do emprego formal industrial (R$)</v>
      </c>
      <c r="L13" s="1" t="str">
        <f aca="false">'Indicadores (F-W)'!AG13</f>
        <v>Fraqueza</v>
      </c>
      <c r="M13" s="88" t="n">
        <f aca="false">IF('Indicadores (F-W)'!AF13="","",'Indicadores (F-W)'!AF13)</f>
        <v>2150.35</v>
      </c>
      <c r="N13" s="1" t="str">
        <f aca="false">IF(L13="Força",COUNTIF(L$6:L13,"Força"),"")</f>
        <v/>
      </c>
      <c r="O13" s="1" t="n">
        <f aca="false">IF(L13="Fraqueza",COUNTIF(L$6:L13,"Fraqueza"),"")</f>
        <v>4</v>
      </c>
      <c r="Q13" s="1" t="str">
        <f aca="false">Aux!I13</f>
        <v>[Agropecuária] AM-02 – Volatilidade de preços de commodities (boi gordo, soja, milho)</v>
      </c>
      <c r="R13" s="1" t="str">
        <f aca="false">Aux!J13</f>
        <v>Ameaça</v>
      </c>
      <c r="S13" s="1" t="n">
        <f aca="false">IF('Fatores Externos (O-A)'!O13="","",'Fatores Externos (O-A)'!O13)</f>
        <v>2</v>
      </c>
      <c r="T13" s="1" t="n">
        <f aca="false">IF(AND(R13="Oportunidade",ISNUMBER(S13)),IF(S13&gt;=Parâmetros!$B$5,1,0),0)</f>
        <v>0</v>
      </c>
      <c r="U13" s="1" t="str">
        <f aca="false">IF(T13=1,SUM(T$6:T13),"")</f>
        <v/>
      </c>
      <c r="V13" s="1" t="n">
        <f aca="false">IF(AND(R13="Ameaça",ISNUMBER(S13)),IF(S13&gt;=Parâmetros!$B$5,1,0),0)</f>
        <v>1</v>
      </c>
      <c r="W13" s="1" t="n">
        <f aca="false">IF(V13=1,SUM(V$6:V13),"")</f>
        <v>2</v>
      </c>
    </row>
    <row r="14" customFormat="false" ht="30" hidden="false" customHeight="true" outlineLevel="0" collapsed="false">
      <c r="A14" s="15"/>
      <c r="B14" s="16" t="str">
        <f aca="false">IF(C14="","",7)</f>
        <v/>
      </c>
      <c r="C14" s="17" t="str">
        <f aca="false">IFERROR(INDEX($K$6:$K$21,MATCH(7,$N$6:$N$21,0)),"")</f>
        <v/>
      </c>
      <c r="D14" s="18" t="str">
        <f aca="false">IFERROR(INDEX($M$6:$M$21,MATCH(7,$N$6:$N$21,0)),"")</f>
        <v/>
      </c>
      <c r="F14" s="19" t="n">
        <f aca="false">IF(G14="","",7)</f>
        <v>7</v>
      </c>
      <c r="G14" s="20" t="str">
        <f aca="false">IFERROR(INDEX($K$6:$K$21,MATCH(7,$O$6:$O$21,0)),"")</f>
        <v>[Estrutura Econômica e Fiscal] EST-01 – PIB per capita (R$)</v>
      </c>
      <c r="H14" s="21" t="n">
        <f aca="false">IFERROR(INDEX($M$6:$M$21,MATCH(7,$O$6:$O$21,0)),"")</f>
        <v>27609.14</v>
      </c>
      <c r="K14" s="1" t="str">
        <f aca="false">Aux!B14</f>
        <v>[Comércio e Serviços] CS-01 – Quociente locacional do VAB de serviços, exceto adm. pública (base MT) (índice)</v>
      </c>
      <c r="L14" s="1" t="str">
        <f aca="false">'Indicadores (F-W)'!AG14</f>
        <v>Neutro</v>
      </c>
      <c r="M14" s="87" t="n">
        <f aca="false">IF('Indicadores (F-W)'!AF14="","",'Indicadores (F-W)'!AF14)</f>
        <v>1.1034</v>
      </c>
      <c r="N14" s="1" t="str">
        <f aca="false">IF(L14="Força",COUNTIF(L$6:L14,"Força"),"")</f>
        <v/>
      </c>
      <c r="O14" s="1" t="str">
        <f aca="false">IF(L14="Fraqueza",COUNTIF(L$6:L14,"Fraqueza"),"")</f>
        <v/>
      </c>
      <c r="Q14" s="1" t="str">
        <f aca="false">Aux!I14</f>
        <v>[Agropecuária] AM-03 – Exigências ambientais de mercados importadores e barreiras ligadas a desmatamento (ex.: EUDR)</v>
      </c>
      <c r="R14" s="1" t="str">
        <f aca="false">Aux!J14</f>
        <v>Ameaça</v>
      </c>
      <c r="S14" s="1" t="n">
        <f aca="false">IF('Fatores Externos (O-A)'!O14="","",'Fatores Externos (O-A)'!O14)</f>
        <v>2</v>
      </c>
      <c r="T14" s="1" t="n">
        <f aca="false">IF(AND(R14="Oportunidade",ISNUMBER(S14)),IF(S14&gt;=Parâmetros!$B$5,1,0),0)</f>
        <v>0</v>
      </c>
      <c r="U14" s="1" t="str">
        <f aca="false">IF(T14=1,SUM(T$6:T14),"")</f>
        <v/>
      </c>
      <c r="V14" s="1" t="n">
        <f aca="false">IF(AND(R14="Ameaça",ISNUMBER(S14)),IF(S14&gt;=Parâmetros!$B$5,1,0),0)</f>
        <v>1</v>
      </c>
      <c r="W14" s="1" t="n">
        <f aca="false">IF(V14=1,SUM(V$6:V14),"")</f>
        <v>3</v>
      </c>
    </row>
    <row r="15" customFormat="false" ht="30" hidden="false" customHeight="true" outlineLevel="0" collapsed="false">
      <c r="A15" s="15"/>
      <c r="B15" s="16" t="str">
        <f aca="false">IF(C15="","",8)</f>
        <v/>
      </c>
      <c r="C15" s="17" t="str">
        <f aca="false">IFERROR(INDEX($K$6:$K$21,MATCH(8,$N$6:$N$21,0)),"")</f>
        <v/>
      </c>
      <c r="D15" s="18" t="str">
        <f aca="false">IFERROR(INDEX($M$6:$M$21,MATCH(8,$N$6:$N$21,0)),"")</f>
        <v/>
      </c>
      <c r="F15" s="19" t="n">
        <f aca="false">IF(G15="","",8)</f>
        <v>8</v>
      </c>
      <c r="G15" s="20" t="str">
        <f aca="false">IFERROR(INDEX($K$6:$K$21,MATCH(8,$O$6:$O$21,0)),"")</f>
        <v>[Estrutura Econômica e Fiscal] EST-02 – Participação da administração pública no VAB total (%)</v>
      </c>
      <c r="H15" s="21" t="n">
        <f aca="false">IFERROR(INDEX($M$6:$M$21,MATCH(8,$O$6:$O$21,0)),"")</f>
        <v>33.23</v>
      </c>
      <c r="K15" s="1" t="str">
        <f aca="false">Aux!B15</f>
        <v>[Comércio e Serviços] CS-02 – Variação do emprego formal em comércio e serviços em 5 anos (%)</v>
      </c>
      <c r="L15" s="1" t="str">
        <f aca="false">'Indicadores (F-W)'!AG15</f>
        <v>Fraqueza</v>
      </c>
      <c r="M15" s="88" t="n">
        <f aca="false">IF('Indicadores (F-W)'!AF15="","",'Indicadores (F-W)'!AF15)</f>
        <v>30.43</v>
      </c>
      <c r="N15" s="1" t="str">
        <f aca="false">IF(L15="Força",COUNTIF(L$6:L15,"Força"),"")</f>
        <v/>
      </c>
      <c r="O15" s="1" t="n">
        <f aca="false">IF(L15="Fraqueza",COUNTIF(L$6:L15,"Fraqueza"),"")</f>
        <v>5</v>
      </c>
      <c r="Q15" s="1" t="str">
        <f aca="false">Aux!I15</f>
        <v>[Estrutura Econômica e Fiscal] AM-04 – Transição da Reforma Tributária (IBS/CBS) e efeitos sobre a repartição de receitas municipais</v>
      </c>
      <c r="R15" s="1" t="str">
        <f aca="false">Aux!J15</f>
        <v>Ameaça</v>
      </c>
      <c r="S15" s="1" t="n">
        <f aca="false">IF('Fatores Externos (O-A)'!O15="","",'Fatores Externos (O-A)'!O15)</f>
        <v>1</v>
      </c>
      <c r="T15" s="1" t="n">
        <f aca="false">IF(AND(R15="Oportunidade",ISNUMBER(S15)),IF(S15&gt;=Parâmetros!$B$5,1,0),0)</f>
        <v>0</v>
      </c>
      <c r="U15" s="1" t="str">
        <f aca="false">IF(T15=1,SUM(T$6:T15),"")</f>
        <v/>
      </c>
      <c r="V15" s="1" t="n">
        <f aca="false">IF(AND(R15="Ameaça",ISNUMBER(S15)),IF(S15&gt;=Parâmetros!$B$5,1,0),0)</f>
        <v>0</v>
      </c>
      <c r="W15" s="1" t="str">
        <f aca="false">IF(V15=1,SUM(V$6:V15),"")</f>
        <v/>
      </c>
    </row>
    <row r="16" customFormat="false" ht="30" hidden="false" customHeight="true" outlineLevel="0" collapsed="false">
      <c r="A16" s="15"/>
      <c r="B16" s="16" t="str">
        <f aca="false">IF(C16="","",9)</f>
        <v/>
      </c>
      <c r="C16" s="17" t="str">
        <f aca="false">IFERROR(INDEX($K$6:$K$21,MATCH(9,$N$6:$N$21,0)),"")</f>
        <v/>
      </c>
      <c r="D16" s="18" t="str">
        <f aca="false">IFERROR(INDEX($M$6:$M$21,MATCH(9,$N$6:$N$21,0)),"")</f>
        <v/>
      </c>
      <c r="F16" s="19" t="n">
        <f aca="false">IF(G16="","",9)</f>
        <v>9</v>
      </c>
      <c r="G16" s="20" t="str">
        <f aca="false">IFERROR(INDEX($K$6:$K$21,MATCH(9,$O$6:$O$21,0)),"")</f>
        <v>[Estrutura Econômica e Fiscal] EST-03 – Vínculos formais por 100 habitantes (vínculos/100 hab.)</v>
      </c>
      <c r="H16" s="21" t="n">
        <f aca="false">IFERROR(INDEX($M$6:$M$21,MATCH(9,$O$6:$O$21,0)),"")</f>
        <v>15.75</v>
      </c>
      <c r="K16" s="1" t="str">
        <f aca="false">Aux!B16</f>
        <v>[Comércio e Serviços] CS-03 – Empresas e outras organizações ativas por mil habitantes (un./mil hab.)</v>
      </c>
      <c r="L16" s="1" t="str">
        <f aca="false">'Indicadores (F-W)'!AG16</f>
        <v>Fraqueza</v>
      </c>
      <c r="M16" s="88" t="n">
        <f aca="false">IF('Indicadores (F-W)'!AF16="","",'Indicadores (F-W)'!AF16)</f>
        <v>16.35</v>
      </c>
      <c r="N16" s="1" t="str">
        <f aca="false">IF(L16="Força",COUNTIF(L$6:L16,"Força"),"")</f>
        <v/>
      </c>
      <c r="O16" s="1" t="n">
        <f aca="false">IF(L16="Fraqueza",COUNTIF(L$6:L16,"Fraqueza"),"")</f>
        <v>6</v>
      </c>
      <c r="Q16" s="1" t="str">
        <f aca="false">Aux!I16</f>
        <v>[Comércio e Serviços] AM-05 – Polarização regional por centros maiores (evasão de consumo, serviços e mão de obra)</v>
      </c>
      <c r="R16" s="1" t="str">
        <f aca="false">Aux!J16</f>
        <v>Ameaça</v>
      </c>
      <c r="S16" s="1" t="n">
        <f aca="false">IF('Fatores Externos (O-A)'!O16="","",'Fatores Externos (O-A)'!O16)</f>
        <v>2</v>
      </c>
      <c r="T16" s="1" t="n">
        <f aca="false">IF(AND(R16="Oportunidade",ISNUMBER(S16)),IF(S16&gt;=Parâmetros!$B$5,1,0),0)</f>
        <v>0</v>
      </c>
      <c r="U16" s="1" t="str">
        <f aca="false">IF(T16=1,SUM(T$6:T16),"")</f>
        <v/>
      </c>
      <c r="V16" s="1" t="n">
        <f aca="false">IF(AND(R16="Ameaça",ISNUMBER(S16)),IF(S16&gt;=Parâmetros!$B$5,1,0),0)</f>
        <v>1</v>
      </c>
      <c r="W16" s="1" t="n">
        <f aca="false">IF(V16=1,SUM(V$6:V16),"")</f>
        <v>4</v>
      </c>
    </row>
    <row r="17" customFormat="false" ht="30" hidden="false" customHeight="true" outlineLevel="0" collapsed="false">
      <c r="A17" s="15"/>
      <c r="B17" s="16" t="str">
        <f aca="false">IF(C17="","",10)</f>
        <v/>
      </c>
      <c r="C17" s="17" t="str">
        <f aca="false">IFERROR(INDEX($K$6:$K$21,MATCH(10,$N$6:$N$21,0)),"")</f>
        <v/>
      </c>
      <c r="D17" s="18" t="str">
        <f aca="false">IFERROR(INDEX($M$6:$M$21,MATCH(10,$N$6:$N$21,0)),"")</f>
        <v/>
      </c>
      <c r="F17" s="19" t="n">
        <f aca="false">IF(G17="","",10)</f>
        <v>10</v>
      </c>
      <c r="G17" s="20" t="str">
        <f aca="false">IFERROR(INDEX($K$6:$K$21,MATCH(10,$O$6:$O$21,0)),"")</f>
        <v>[Estrutura Econômica e Fiscal] EST-04 – Concentração setorial do emprego formal (HHI por seção CNAE) (índice 0–1)</v>
      </c>
      <c r="H17" s="21" t="n">
        <f aca="false">IFERROR(INDEX($M$6:$M$21,MATCH(10,$O$6:$O$21,0)),"")</f>
        <v>0.1845</v>
      </c>
      <c r="K17" s="1" t="str">
        <f aca="false">Aux!B17</f>
        <v>[Estrutura Econômica e Fiscal] EST-01 – PIB per capita (R$)</v>
      </c>
      <c r="L17" s="1" t="str">
        <f aca="false">'Indicadores (F-W)'!AG17</f>
        <v>Fraqueza</v>
      </c>
      <c r="M17" s="89" t="n">
        <f aca="false">IF('Indicadores (F-W)'!AF17="","",'Indicadores (F-W)'!AF17)</f>
        <v>27609.14</v>
      </c>
      <c r="N17" s="1" t="str">
        <f aca="false">IF(L17="Força",COUNTIF(L$6:L17,"Força"),"")</f>
        <v/>
      </c>
      <c r="O17" s="1" t="n">
        <f aca="false">IF(L17="Fraqueza",COUNTIF(L$6:L17,"Fraqueza"),"")</f>
        <v>7</v>
      </c>
    </row>
    <row r="18" customFormat="false" ht="30" hidden="false" customHeight="true" outlineLevel="0" collapsed="false">
      <c r="A18" s="15"/>
      <c r="B18" s="16" t="str">
        <f aca="false">IF(C18="","",11)</f>
        <v/>
      </c>
      <c r="C18" s="17" t="str">
        <f aca="false">IFERROR(INDEX($K$6:$K$21,MATCH(11,$N$6:$N$21,0)),"")</f>
        <v/>
      </c>
      <c r="D18" s="18" t="str">
        <f aca="false">IFERROR(INDEX($M$6:$M$21,MATCH(11,$N$6:$N$21,0)),"")</f>
        <v/>
      </c>
      <c r="F18" s="19" t="n">
        <f aca="false">IF(G18="","",11)</f>
        <v>11</v>
      </c>
      <c r="G18" s="20" t="str">
        <f aca="false">IFERROR(INDEX($K$6:$K$21,MATCH(11,$O$6:$O$21,0)),"")</f>
        <v>[Estrutura Econômica e Fiscal] EST-05 – Receitas próprias / receita corrente (%)</v>
      </c>
      <c r="H18" s="21" t="n">
        <f aca="false">IFERROR(INDEX($M$6:$M$21,MATCH(11,$O$6:$O$21,0)),"")</f>
        <v>9.51</v>
      </c>
      <c r="K18" s="1" t="str">
        <f aca="false">Aux!B18</f>
        <v>[Estrutura Econômica e Fiscal] EST-02 – Participação da administração pública no VAB total (%)</v>
      </c>
      <c r="L18" s="1" t="str">
        <f aca="false">'Indicadores (F-W)'!AG18</f>
        <v>Fraqueza</v>
      </c>
      <c r="M18" s="90" t="n">
        <f aca="false">IF('Indicadores (F-W)'!AF18="","",'Indicadores (F-W)'!AF18)</f>
        <v>33.23</v>
      </c>
      <c r="N18" s="1" t="str">
        <f aca="false">IF(L18="Força",COUNTIF(L$6:L18,"Força"),"")</f>
        <v/>
      </c>
      <c r="O18" s="1" t="n">
        <f aca="false">IF(L18="Fraqueza",COUNTIF(L$6:L18,"Fraqueza"),"")</f>
        <v>8</v>
      </c>
    </row>
    <row r="19" customFormat="false" ht="30" hidden="false" customHeight="true" outlineLevel="0" collapsed="false">
      <c r="A19" s="15"/>
      <c r="B19" s="16" t="str">
        <f aca="false">IF(C19="","",12)</f>
        <v/>
      </c>
      <c r="C19" s="17" t="str">
        <f aca="false">IFERROR(INDEX($K$6:$K$21,MATCH(12,$N$6:$N$21,0)),"")</f>
        <v/>
      </c>
      <c r="D19" s="18" t="str">
        <f aca="false">IFERROR(INDEX($M$6:$M$21,MATCH(12,$N$6:$N$21,0)),"")</f>
        <v/>
      </c>
      <c r="F19" s="19" t="str">
        <f aca="false">IF(G19="","",12)</f>
        <v/>
      </c>
      <c r="G19" s="20" t="str">
        <f aca="false">IFERROR(INDEX($K$6:$K$21,MATCH(12,$O$6:$O$21,0)),"")</f>
        <v/>
      </c>
      <c r="H19" s="21" t="str">
        <f aca="false">IFERROR(INDEX($M$6:$M$21,MATCH(12,$O$6:$O$21,0)),"")</f>
        <v/>
      </c>
      <c r="K19" s="1" t="str">
        <f aca="false">Aux!B19</f>
        <v>[Estrutura Econômica e Fiscal] EST-03 – Vínculos formais por 100 habitantes (vínculos/100 hab.)</v>
      </c>
      <c r="L19" s="1" t="str">
        <f aca="false">'Indicadores (F-W)'!AG19</f>
        <v>Fraqueza</v>
      </c>
      <c r="M19" s="88" t="n">
        <f aca="false">IF('Indicadores (F-W)'!AF19="","",'Indicadores (F-W)'!AF19)</f>
        <v>15.75</v>
      </c>
      <c r="N19" s="1" t="str">
        <f aca="false">IF(L19="Força",COUNTIF(L$6:L19,"Força"),"")</f>
        <v/>
      </c>
      <c r="O19" s="1" t="n">
        <f aca="false">IF(L19="Fraqueza",COUNTIF(L$6:L19,"Fraqueza"),"")</f>
        <v>9</v>
      </c>
    </row>
    <row r="20" customFormat="false" ht="15" hidden="false" customHeight="true" outlineLevel="0" collapsed="false">
      <c r="C20" s="22" t="str">
        <f aca="false">IF(COUNTIF($L$6:$L$21,"Força")&gt;12,"+ "&amp;(COUNTIF($L$6:$L$21,"Força")-12)&amp;" item(ns) não exibido(s)","")</f>
        <v/>
      </c>
      <c r="G20" s="22" t="str">
        <f aca="false">IF(COUNTIF($L$6:$L$21,"Fraqueza")&gt;12,"+ "&amp;(COUNTIF($L$6:$L$21,"Fraqueza")-12)&amp;" item(ns) não exibido(s)","")</f>
        <v/>
      </c>
      <c r="K20" s="1" t="str">
        <f aca="false">Aux!B20</f>
        <v>[Estrutura Econômica e Fiscal] EST-04 – Concentração setorial do emprego formal (HHI por seção CNAE) (índice 0–1)</v>
      </c>
      <c r="L20" s="1" t="str">
        <f aca="false">'Indicadores (F-W)'!AG20</f>
        <v>Fraqueza</v>
      </c>
      <c r="M20" s="93" t="n">
        <f aca="false">IF('Indicadores (F-W)'!AF20="","",'Indicadores (F-W)'!AF20)</f>
        <v>0.1845</v>
      </c>
      <c r="N20" s="1" t="str">
        <f aca="false">IF(L20="Força",COUNTIF(L$6:L20,"Força"),"")</f>
        <v/>
      </c>
      <c r="O20" s="1" t="n">
        <f aca="false">IF(L20="Fraqueza",COUNTIF(L$6:L20,"Fraqueza"),"")</f>
        <v>10</v>
      </c>
    </row>
    <row r="21" customFormat="false" ht="15" hidden="false" customHeight="true" outlineLevel="0" collapsed="false">
      <c r="K21" s="1" t="str">
        <f aca="false">Aux!B21</f>
        <v>[Estrutura Econômica e Fiscal] EST-05 – Receitas próprias / receita corrente (%)</v>
      </c>
      <c r="L21" s="1" t="str">
        <f aca="false">'Indicadores (F-W)'!AG21</f>
        <v>Fraqueza</v>
      </c>
      <c r="M21" s="88" t="n">
        <f aca="false">IF('Indicadores (F-W)'!AF21="","",'Indicadores (F-W)'!AF21)</f>
        <v>9.51</v>
      </c>
      <c r="N21" s="1" t="str">
        <f aca="false">IF(L21="Força",COUNTIF(L$6:L21,"Força"),"")</f>
        <v/>
      </c>
      <c r="O21" s="1" t="n">
        <f aca="false">IF(L21="Fraqueza",COUNTIF(L$6:L21,"Fraqueza"),"")</f>
        <v>11</v>
      </c>
    </row>
    <row r="22" customFormat="false" ht="15" hidden="false" customHeight="true" outlineLevel="0" collapsed="false">
      <c r="B22" s="23" t="str">
        <f aca="false">"OPORTUNIDADES (O) — "&amp;SUM($T$6:$T$16)&amp;" item(ns)"</f>
        <v>OPORTUNIDADES (O) — 4 item(ns)</v>
      </c>
      <c r="C22" s="23"/>
      <c r="D22" s="23"/>
      <c r="F22" s="24" t="str">
        <f aca="false">"AMEAÇAS (T) — "&amp;SUM($V$6:$V$16)&amp;" item(ns)"</f>
        <v>AMEAÇAS (T) — 4 item(ns)</v>
      </c>
      <c r="G22" s="24"/>
      <c r="H22" s="24"/>
    </row>
    <row r="23" customFormat="false" ht="15" hidden="false" customHeight="true" outlineLevel="0" collapsed="false">
      <c r="B23" s="25" t="s">
        <v>29</v>
      </c>
      <c r="C23" s="25" t="s">
        <v>30</v>
      </c>
      <c r="D23" s="25" t="s">
        <v>33</v>
      </c>
      <c r="F23" s="26" t="s">
        <v>29</v>
      </c>
      <c r="G23" s="26" t="s">
        <v>30</v>
      </c>
      <c r="H23" s="26" t="s">
        <v>33</v>
      </c>
    </row>
    <row r="24" customFormat="false" ht="30" hidden="false" customHeight="true" outlineLevel="0" collapsed="false">
      <c r="A24" s="15" t="s">
        <v>34</v>
      </c>
      <c r="B24" s="27" t="n">
        <f aca="false">IF(C24="","",1)</f>
        <v>1</v>
      </c>
      <c r="C24" s="28" t="str">
        <f aca="false">IFERROR(INDEX($Q$6:$Q$16,MATCH(1,$U$6:$U$16,0)),"")</f>
        <v>[Agropecuária] OP-01 – Demanda externa por carne bovina e proteína animal</v>
      </c>
      <c r="D24" s="29" t="n">
        <f aca="false">IFERROR(INDEX($S$6:$S$16,MATCH(1,$U$6:$U$16,0)),"")</f>
        <v>2</v>
      </c>
      <c r="F24" s="30" t="n">
        <f aca="false">IF(G24="","",1)</f>
        <v>1</v>
      </c>
      <c r="G24" s="31" t="str">
        <f aca="false">IFERROR(INDEX($Q$6:$Q$16,MATCH(1,$W$6:$W$16,0)),"")</f>
        <v>[Agropecuária] AM-01 – Eventos climáticos extremos: secas prolongadas e incêndios no Pantanal</v>
      </c>
      <c r="H24" s="32" t="n">
        <f aca="false">IFERROR(INDEX($S$6:$S$16,MATCH(1,$W$6:$W$16,0)),"")</f>
        <v>3</v>
      </c>
    </row>
    <row r="25" customFormat="false" ht="30" hidden="false" customHeight="true" outlineLevel="0" collapsed="false">
      <c r="A25" s="15"/>
      <c r="B25" s="27" t="n">
        <f aca="false">IF(C25="","",2)</f>
        <v>2</v>
      </c>
      <c r="C25" s="28" t="str">
        <f aca="false">IFERROR(INDEX($Q$6:$Q$16,MATCH(2,$U$6:$U$16,0)),"")</f>
        <v>[Agropecuária] OP-02 – Mercados para produtos diferenciados e certificados (carne sustentável/orgânica, origem Pantanal)</v>
      </c>
      <c r="D25" s="29" t="n">
        <f aca="false">IFERROR(INDEX($S$6:$S$16,MATCH(2,$U$6:$U$16,0)),"")</f>
        <v>3</v>
      </c>
      <c r="F25" s="30" t="n">
        <f aca="false">IF(G25="","",2)</f>
        <v>2</v>
      </c>
      <c r="G25" s="31" t="str">
        <f aca="false">IFERROR(INDEX($Q$6:$Q$16,MATCH(2,$W$6:$W$16,0)),"")</f>
        <v>[Agropecuária] AM-02 – Volatilidade de preços de commodities (boi gordo, soja, milho)</v>
      </c>
      <c r="H25" s="32" t="n">
        <f aca="false">IFERROR(INDEX($S$6:$S$16,MATCH(2,$W$6:$W$16,0)),"")</f>
        <v>2</v>
      </c>
    </row>
    <row r="26" customFormat="false" ht="30" hidden="false" customHeight="true" outlineLevel="0" collapsed="false">
      <c r="A26" s="15"/>
      <c r="B26" s="27" t="n">
        <f aca="false">IF(C26="","",3)</f>
        <v>3</v>
      </c>
      <c r="C26" s="28" t="str">
        <f aca="false">IFERROR(INDEX($Q$6:$Q$16,MATCH(3,$U$6:$U$16,0)),"")</f>
        <v>[Comércio e Serviços] OP-03 – Expansão do turismo de natureza, pesca esportiva e ecoturismo</v>
      </c>
      <c r="D26" s="29" t="n">
        <f aca="false">IFERROR(INDEX($S$6:$S$16,MATCH(3,$U$6:$U$16,0)),"")</f>
        <v>3</v>
      </c>
      <c r="F26" s="30" t="n">
        <f aca="false">IF(G26="","",3)</f>
        <v>3</v>
      </c>
      <c r="G26" s="31" t="str">
        <f aca="false">IFERROR(INDEX($Q$6:$Q$16,MATCH(3,$W$6:$W$16,0)),"")</f>
        <v>[Agropecuária] AM-03 – Exigências ambientais de mercados importadores e barreiras ligadas a desmatamento (ex.: EUDR)</v>
      </c>
      <c r="H26" s="32" t="n">
        <f aca="false">IFERROR(INDEX($S$6:$S$16,MATCH(3,$W$6:$W$16,0)),"")</f>
        <v>2</v>
      </c>
    </row>
    <row r="27" customFormat="false" ht="30" hidden="false" customHeight="true" outlineLevel="0" collapsed="false">
      <c r="A27" s="15"/>
      <c r="B27" s="27" t="n">
        <f aca="false">IF(C27="","",4)</f>
        <v>4</v>
      </c>
      <c r="C27" s="28" t="str">
        <f aca="false">IFERROR(INDEX($Q$6:$Q$16,MATCH(4,$U$6:$U$16,0)),"")</f>
        <v>[Estrutura Econômica e Fiscal] OP-06 – Instrumentos de fomento e financiamento (FCO, crédito rural, PSA, mercado de carbono)</v>
      </c>
      <c r="D27" s="29" t="n">
        <f aca="false">IFERROR(INDEX($S$6:$S$16,MATCH(4,$U$6:$U$16,0)),"")</f>
        <v>2</v>
      </c>
      <c r="F27" s="30" t="n">
        <f aca="false">IF(G27="","",4)</f>
        <v>4</v>
      </c>
      <c r="G27" s="31" t="str">
        <f aca="false">IFERROR(INDEX($Q$6:$Q$16,MATCH(4,$W$6:$W$16,0)),"")</f>
        <v>[Comércio e Serviços] AM-05 – Polarização regional por centros maiores (evasão de consumo, serviços e mão de obra)</v>
      </c>
      <c r="H27" s="32" t="n">
        <f aca="false">IFERROR(INDEX($S$6:$S$16,MATCH(4,$W$6:$W$16,0)),"")</f>
        <v>2</v>
      </c>
    </row>
    <row r="28" customFormat="false" ht="30" hidden="false" customHeight="true" outlineLevel="0" collapsed="false">
      <c r="A28" s="15"/>
      <c r="B28" s="27" t="str">
        <f aca="false">IF(C28="","",5)</f>
        <v/>
      </c>
      <c r="C28" s="28" t="str">
        <f aca="false">IFERROR(INDEX($Q$6:$Q$16,MATCH(5,$U$6:$U$16,0)),"")</f>
        <v/>
      </c>
      <c r="D28" s="29" t="str">
        <f aca="false">IFERROR(INDEX($S$6:$S$16,MATCH(5,$U$6:$U$16,0)),"")</f>
        <v/>
      </c>
      <c r="F28" s="30" t="str">
        <f aca="false">IF(G28="","",5)</f>
        <v/>
      </c>
      <c r="G28" s="31" t="str">
        <f aca="false">IFERROR(INDEX($Q$6:$Q$16,MATCH(5,$W$6:$W$16,0)),"")</f>
        <v/>
      </c>
      <c r="H28" s="32" t="str">
        <f aca="false">IFERROR(INDEX($S$6:$S$16,MATCH(5,$W$6:$W$16,0)),"")</f>
        <v/>
      </c>
    </row>
    <row r="29" customFormat="false" ht="30" hidden="false" customHeight="true" outlineLevel="0" collapsed="false">
      <c r="A29" s="15"/>
      <c r="B29" s="27" t="str">
        <f aca="false">IF(C29="","",6)</f>
        <v/>
      </c>
      <c r="C29" s="28" t="str">
        <f aca="false">IFERROR(INDEX($Q$6:$Q$16,MATCH(6,$U$6:$U$16,0)),"")</f>
        <v/>
      </c>
      <c r="D29" s="29" t="str">
        <f aca="false">IFERROR(INDEX($S$6:$S$16,MATCH(6,$U$6:$U$16,0)),"")</f>
        <v/>
      </c>
      <c r="F29" s="30" t="str">
        <f aca="false">IF(G29="","",6)</f>
        <v/>
      </c>
      <c r="G29" s="31" t="str">
        <f aca="false">IFERROR(INDEX($Q$6:$Q$16,MATCH(6,$W$6:$W$16,0)),"")</f>
        <v/>
      </c>
      <c r="H29" s="32" t="str">
        <f aca="false">IFERROR(INDEX($S$6:$S$16,MATCH(6,$W$6:$W$16,0)),"")</f>
        <v/>
      </c>
    </row>
    <row r="30" customFormat="false" ht="30" hidden="false" customHeight="true" outlineLevel="0" collapsed="false">
      <c r="A30" s="15"/>
      <c r="B30" s="27" t="str">
        <f aca="false">IF(C30="","",7)</f>
        <v/>
      </c>
      <c r="C30" s="28" t="str">
        <f aca="false">IFERROR(INDEX($Q$6:$Q$16,MATCH(7,$U$6:$U$16,0)),"")</f>
        <v/>
      </c>
      <c r="D30" s="29" t="str">
        <f aca="false">IFERROR(INDEX($S$6:$S$16,MATCH(7,$U$6:$U$16,0)),"")</f>
        <v/>
      </c>
      <c r="F30" s="30" t="str">
        <f aca="false">IF(G30="","",7)</f>
        <v/>
      </c>
      <c r="G30" s="31" t="str">
        <f aca="false">IFERROR(INDEX($Q$6:$Q$16,MATCH(7,$W$6:$W$16,0)),"")</f>
        <v/>
      </c>
      <c r="H30" s="32" t="str">
        <f aca="false">IFERROR(INDEX($S$6:$S$16,MATCH(7,$W$6:$W$16,0)),"")</f>
        <v/>
      </c>
    </row>
    <row r="31" customFormat="false" ht="30" hidden="false" customHeight="true" outlineLevel="0" collapsed="false">
      <c r="A31" s="15"/>
      <c r="B31" s="27" t="str">
        <f aca="false">IF(C31="","",8)</f>
        <v/>
      </c>
      <c r="C31" s="28" t="str">
        <f aca="false">IFERROR(INDEX($Q$6:$Q$16,MATCH(8,$U$6:$U$16,0)),"")</f>
        <v/>
      </c>
      <c r="D31" s="29" t="str">
        <f aca="false">IFERROR(INDEX($S$6:$S$16,MATCH(8,$U$6:$U$16,0)),"")</f>
        <v/>
      </c>
      <c r="F31" s="30" t="str">
        <f aca="false">IF(G31="","",8)</f>
        <v/>
      </c>
      <c r="G31" s="31" t="str">
        <f aca="false">IFERROR(INDEX($Q$6:$Q$16,MATCH(8,$W$6:$W$16,0)),"")</f>
        <v/>
      </c>
      <c r="H31" s="32" t="str">
        <f aca="false">IFERROR(INDEX($S$6:$S$16,MATCH(8,$W$6:$W$16,0)),"")</f>
        <v/>
      </c>
    </row>
    <row r="32" customFormat="false" ht="30" hidden="false" customHeight="true" outlineLevel="0" collapsed="false">
      <c r="A32" s="15"/>
      <c r="B32" s="27" t="str">
        <f aca="false">IF(C32="","",9)</f>
        <v/>
      </c>
      <c r="C32" s="28" t="str">
        <f aca="false">IFERROR(INDEX($Q$6:$Q$16,MATCH(9,$U$6:$U$16,0)),"")</f>
        <v/>
      </c>
      <c r="D32" s="29" t="str">
        <f aca="false">IFERROR(INDEX($S$6:$S$16,MATCH(9,$U$6:$U$16,0)),"")</f>
        <v/>
      </c>
      <c r="F32" s="30" t="str">
        <f aca="false">IF(G32="","",9)</f>
        <v/>
      </c>
      <c r="G32" s="31" t="str">
        <f aca="false">IFERROR(INDEX($Q$6:$Q$16,MATCH(9,$W$6:$W$16,0)),"")</f>
        <v/>
      </c>
      <c r="H32" s="32" t="str">
        <f aca="false">IFERROR(INDEX($S$6:$S$16,MATCH(9,$W$6:$W$16,0)),"")</f>
        <v/>
      </c>
    </row>
    <row r="33" customFormat="false" ht="30" hidden="false" customHeight="true" outlineLevel="0" collapsed="false">
      <c r="A33" s="15"/>
      <c r="B33" s="27" t="str">
        <f aca="false">IF(C33="","",10)</f>
        <v/>
      </c>
      <c r="C33" s="28" t="str">
        <f aca="false">IFERROR(INDEX($Q$6:$Q$16,MATCH(10,$U$6:$U$16,0)),"")</f>
        <v/>
      </c>
      <c r="D33" s="29" t="str">
        <f aca="false">IFERROR(INDEX($S$6:$S$16,MATCH(10,$U$6:$U$16,0)),"")</f>
        <v/>
      </c>
      <c r="F33" s="30" t="str">
        <f aca="false">IF(G33="","",10)</f>
        <v/>
      </c>
      <c r="G33" s="31" t="str">
        <f aca="false">IFERROR(INDEX($Q$6:$Q$16,MATCH(10,$W$6:$W$16,0)),"")</f>
        <v/>
      </c>
      <c r="H33" s="32" t="str">
        <f aca="false">IFERROR(INDEX($S$6:$S$16,MATCH(10,$W$6:$W$16,0)),"")</f>
        <v/>
      </c>
    </row>
    <row r="34" customFormat="false" ht="30" hidden="false" customHeight="true" outlineLevel="0" collapsed="false">
      <c r="A34" s="15"/>
      <c r="B34" s="27" t="str">
        <f aca="false">IF(C34="","",11)</f>
        <v/>
      </c>
      <c r="C34" s="28" t="str">
        <f aca="false">IFERROR(INDEX($Q$6:$Q$16,MATCH(11,$U$6:$U$16,0)),"")</f>
        <v/>
      </c>
      <c r="D34" s="29" t="str">
        <f aca="false">IFERROR(INDEX($S$6:$S$16,MATCH(11,$U$6:$U$16,0)),"")</f>
        <v/>
      </c>
      <c r="F34" s="30" t="str">
        <f aca="false">IF(G34="","",11)</f>
        <v/>
      </c>
      <c r="G34" s="31" t="str">
        <f aca="false">IFERROR(INDEX($Q$6:$Q$16,MATCH(11,$W$6:$W$16,0)),"")</f>
        <v/>
      </c>
      <c r="H34" s="32" t="str">
        <f aca="false">IFERROR(INDEX($S$6:$S$16,MATCH(11,$W$6:$W$16,0)),"")</f>
        <v/>
      </c>
    </row>
    <row r="35" customFormat="false" ht="30" hidden="false" customHeight="true" outlineLevel="0" collapsed="false">
      <c r="A35" s="15"/>
      <c r="B35" s="27" t="str">
        <f aca="false">IF(C35="","",12)</f>
        <v/>
      </c>
      <c r="C35" s="28" t="str">
        <f aca="false">IFERROR(INDEX($Q$6:$Q$16,MATCH(12,$U$6:$U$16,0)),"")</f>
        <v/>
      </c>
      <c r="D35" s="29" t="str">
        <f aca="false">IFERROR(INDEX($S$6:$S$16,MATCH(12,$U$6:$U$16,0)),"")</f>
        <v/>
      </c>
      <c r="F35" s="30" t="str">
        <f aca="false">IF(G35="","",12)</f>
        <v/>
      </c>
      <c r="G35" s="31" t="str">
        <f aca="false">IFERROR(INDEX($Q$6:$Q$16,MATCH(12,$W$6:$W$16,0)),"")</f>
        <v/>
      </c>
      <c r="H35" s="32" t="str">
        <f aca="false">IFERROR(INDEX($S$6:$S$16,MATCH(12,$W$6:$W$16,0)),"")</f>
        <v/>
      </c>
    </row>
    <row r="36" customFormat="false" ht="15" hidden="false" customHeight="true" outlineLevel="0" collapsed="false">
      <c r="C36" s="22" t="str">
        <f aca="false">IF(SUM($T$6:$T$16)&gt;12,"+ "&amp;(SUM($T$6:$T$16)-12)&amp;" item(ns) não exibido(s)","")</f>
        <v/>
      </c>
      <c r="G36" s="22" t="str">
        <f aca="false">IF(SUM($V$6:$V$16)&gt;12,"+ "&amp;(SUM($V$6:$V$16)-12)&amp;" item(ns) não exibido(s)","")</f>
        <v/>
      </c>
    </row>
    <row r="38" customFormat="false" ht="15" hidden="false" customHeight="true" outlineLevel="0" collapsed="false">
      <c r="B38" s="33" t="s">
        <v>329</v>
      </c>
    </row>
  </sheetData>
  <mergeCells count="8">
    <mergeCell ref="B5:D5"/>
    <mergeCell ref="F5:H5"/>
    <mergeCell ref="B6:D6"/>
    <mergeCell ref="F6:H6"/>
    <mergeCell ref="A8:A19"/>
    <mergeCell ref="B22:D22"/>
    <mergeCell ref="F22:H22"/>
    <mergeCell ref="A24:A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W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"/>
    <col collapsed="false" customWidth="true" hidden="false" outlineLevel="0" max="3" min="3" style="1" width="55"/>
    <col collapsed="false" customWidth="true" hidden="false" outlineLevel="0" max="4" min="4" style="1" width="12"/>
    <col collapsed="false" customWidth="true" hidden="false" outlineLevel="0" max="5" min="5" style="1" width="2"/>
    <col collapsed="false" customWidth="true" hidden="false" outlineLevel="0" max="6" min="6" style="1" width="5"/>
    <col collapsed="false" customWidth="true" hidden="false" outlineLevel="0" max="7" min="7" style="1" width="55"/>
    <col collapsed="false" customWidth="true" hidden="false" outlineLevel="0" max="8" min="8" style="1" width="12"/>
    <col collapsed="false" customWidth="true" hidden="true" outlineLevel="0" max="23" min="11" style="1" width="13"/>
  </cols>
  <sheetData>
    <row r="1" customFormat="false" ht="17.25" hidden="false" customHeight="true" outlineLevel="0" collapsed="false">
      <c r="B1" s="91" t="s">
        <v>339</v>
      </c>
    </row>
    <row r="2" customFormat="false" ht="15" hidden="false" customHeight="true" outlineLevel="0" collapsed="false">
      <c r="B2" s="9" t="s">
        <v>328</v>
      </c>
    </row>
    <row r="3" customFormat="false" ht="15" hidden="false" customHeight="true" outlineLevel="0" collapsed="false">
      <c r="B3" s="92" t="str">
        <f aca="false">"Indicadores internos com dado: "&amp;(COUNTA(L6:L21)-COUNTBLANK(L6:L21))&amp;" de 16  |  Neutros: "&amp;COUNTIF(L6:L21,"Neutro")&amp;"  |  Fatores externos pontuados: "&amp;COUNT(S6:S16)&amp;" de 11"</f>
        <v>Indicadores internos com dado: 14 de 16  |  Neutros: 2  |  Fatores externos pontuados: 11 de 11</v>
      </c>
    </row>
    <row r="5" customFormat="false" ht="15" hidden="false" customHeight="true" outlineLevel="0" collapsed="false">
      <c r="B5" s="10" t="s">
        <v>27</v>
      </c>
      <c r="C5" s="10"/>
      <c r="D5" s="10"/>
      <c r="F5" s="10" t="s">
        <v>28</v>
      </c>
      <c r="G5" s="10"/>
      <c r="H5" s="10"/>
    </row>
    <row r="6" customFormat="false" ht="15" hidden="false" customHeight="true" outlineLevel="0" collapsed="false">
      <c r="B6" s="11" t="str">
        <f aca="false">"FORÇAS (S) — "&amp;COUNTIF($L$6:$L$21,"Força")&amp;" item(ns)"</f>
        <v>FORÇAS (S) — 3 item(ns)</v>
      </c>
      <c r="C6" s="11"/>
      <c r="D6" s="11"/>
      <c r="F6" s="12" t="str">
        <f aca="false">"FRAQUEZAS (W) — "&amp;COUNTIF($L$6:$L$21,"Fraqueza")&amp;" item(ns)"</f>
        <v>FRAQUEZAS (W) — 9 item(ns)</v>
      </c>
      <c r="G6" s="12"/>
      <c r="H6" s="12"/>
      <c r="K6" s="1" t="str">
        <f aca="false">Aux!B6</f>
        <v>[Agropecuária] AGR-01 – Quociente locacional do VAB agropecuário (base MT) (índice)</v>
      </c>
      <c r="L6" s="1" t="str">
        <f aca="false">'Indicadores (F-W)'!AI6</f>
        <v>Neutro</v>
      </c>
      <c r="M6" s="87" t="n">
        <f aca="false">IF('Indicadores (F-W)'!AH6="","",'Indicadores (F-W)'!AH6)</f>
        <v>1.0048</v>
      </c>
      <c r="N6" s="1" t="str">
        <f aca="false">IF(L6="Força",COUNTIF(L$6:L6,"Força"),"")</f>
        <v/>
      </c>
      <c r="O6" s="1" t="str">
        <f aca="false">IF(L6="Fraqueza",COUNTIF(L$6:L6,"Fraqueza"),"")</f>
        <v/>
      </c>
      <c r="Q6" s="1" t="str">
        <f aca="false">Aux!I6</f>
        <v>[Agropecuária] OP-01 – Demanda externa por carne bovina e proteína animal</v>
      </c>
      <c r="R6" s="1" t="str">
        <f aca="false">Aux!J6</f>
        <v>Oportunidade</v>
      </c>
      <c r="S6" s="1" t="n">
        <f aca="false">IF('Fatores Externos (O-A)'!P6="","",'Fatores Externos (O-A)'!P6)</f>
        <v>3</v>
      </c>
      <c r="T6" s="1" t="n">
        <f aca="false">IF(AND(R6="Oportunidade",ISNUMBER(S6)),IF(S6&gt;=Parâmetros!$B$5,1,0),0)</f>
        <v>1</v>
      </c>
      <c r="U6" s="1" t="n">
        <f aca="false">IF(T6=1,SUM(T$6:T6),"")</f>
        <v>1</v>
      </c>
      <c r="V6" s="1" t="n">
        <f aca="false">IF(AND(R6="Ameaça",ISNUMBER(S6)),IF(S6&gt;=Parâmetros!$B$5,1,0),0)</f>
        <v>0</v>
      </c>
      <c r="W6" s="1" t="str">
        <f aca="false">IF(V6=1,SUM(V$6:V6),"")</f>
        <v/>
      </c>
    </row>
    <row r="7" customFormat="false" ht="15" hidden="false" customHeight="true" outlineLevel="0" collapsed="false">
      <c r="B7" s="13" t="s">
        <v>29</v>
      </c>
      <c r="C7" s="13" t="s">
        <v>30</v>
      </c>
      <c r="D7" s="13" t="s">
        <v>31</v>
      </c>
      <c r="F7" s="14" t="s">
        <v>29</v>
      </c>
      <c r="G7" s="14" t="s">
        <v>30</v>
      </c>
      <c r="H7" s="14" t="s">
        <v>31</v>
      </c>
      <c r="K7" s="1" t="str">
        <f aca="false">Aux!B7</f>
        <v>[Agropecuária] AGR-02 – Valor da produção das lavouras por área colhida (R$/ha)</v>
      </c>
      <c r="L7" s="1" t="str">
        <f aca="false">'Indicadores (F-W)'!AI7</f>
        <v>Força</v>
      </c>
      <c r="M7" s="88" t="n">
        <f aca="false">IF('Indicadores (F-W)'!AH7="","",'Indicadores (F-W)'!AH7)</f>
        <v>6552.04</v>
      </c>
      <c r="N7" s="1" t="n">
        <f aca="false">IF(L7="Força",COUNTIF(L$6:L7,"Força"),"")</f>
        <v>1</v>
      </c>
      <c r="O7" s="1" t="str">
        <f aca="false">IF(L7="Fraqueza",COUNTIF(L$6:L7,"Fraqueza"),"")</f>
        <v/>
      </c>
      <c r="Q7" s="1" t="str">
        <f aca="false">Aux!I7</f>
        <v>[Agropecuária] OP-02 – Mercados para produtos diferenciados e certificados (carne sustentável/orgânica, origem Pantanal)</v>
      </c>
      <c r="R7" s="1" t="str">
        <f aca="false">Aux!J7</f>
        <v>Oportunidade</v>
      </c>
      <c r="S7" s="1" t="n">
        <f aca="false">IF('Fatores Externos (O-A)'!P7="","",'Fatores Externos (O-A)'!P7)</f>
        <v>1</v>
      </c>
      <c r="T7" s="1" t="n">
        <f aca="false">IF(AND(R7="Oportunidade",ISNUMBER(S7)),IF(S7&gt;=Parâmetros!$B$5,1,0),0)</f>
        <v>0</v>
      </c>
      <c r="U7" s="1" t="str">
        <f aca="false">IF(T7=1,SUM(T$6:T7),"")</f>
        <v/>
      </c>
      <c r="V7" s="1" t="n">
        <f aca="false">IF(AND(R7="Ameaça",ISNUMBER(S7)),IF(S7&gt;=Parâmetros!$B$5,1,0),0)</f>
        <v>0</v>
      </c>
      <c r="W7" s="1" t="str">
        <f aca="false">IF(V7=1,SUM(V$6:V7),"")</f>
        <v/>
      </c>
    </row>
    <row r="8" customFormat="false" ht="30" hidden="false" customHeight="true" outlineLevel="0" collapsed="false">
      <c r="A8" s="15" t="s">
        <v>32</v>
      </c>
      <c r="B8" s="16" t="n">
        <f aca="false">IF(C8="","",1)</f>
        <v>1</v>
      </c>
      <c r="C8" s="17" t="str">
        <f aca="false">IFERROR(INDEX($K$6:$K$21,MATCH(1,$N$6:$N$21,0)),"")</f>
        <v>[Agropecuária] AGR-02 – Valor da produção das lavouras por área colhida (R$/ha)</v>
      </c>
      <c r="D8" s="18" t="n">
        <f aca="false">IFERROR(INDEX($M$6:$M$21,MATCH(1,$N$6:$N$21,0)),"")</f>
        <v>6552.04</v>
      </c>
      <c r="F8" s="19" t="n">
        <f aca="false">IF(G8="","",1)</f>
        <v>1</v>
      </c>
      <c r="G8" s="20" t="str">
        <f aca="false">IFERROR(INDEX($K$6:$K$21,MATCH(1,$O$6:$O$21,0)),"")</f>
        <v>[Indústria] IND-03 – Remuneração média do emprego formal industrial (R$)</v>
      </c>
      <c r="H8" s="21" t="n">
        <f aca="false">IFERROR(INDEX($M$6:$M$21,MATCH(1,$O$6:$O$21,0)),"")</f>
        <v>1432.11</v>
      </c>
      <c r="K8" s="1" t="str">
        <f aca="false">Aux!B8</f>
        <v>[Agropecuária] AGR-03 – Variação do efetivo bovino em 5 anos (%)</v>
      </c>
      <c r="L8" s="1" t="str">
        <f aca="false">'Indicadores (F-W)'!AI8</f>
        <v>Força</v>
      </c>
      <c r="M8" s="88" t="n">
        <f aca="false">IF('Indicadores (F-W)'!AH8="","",'Indicadores (F-W)'!AH8)</f>
        <v>8.4</v>
      </c>
      <c r="N8" s="1" t="n">
        <f aca="false">IF(L8="Força",COUNTIF(L$6:L8,"Força"),"")</f>
        <v>2</v>
      </c>
      <c r="O8" s="1" t="str">
        <f aca="false">IF(L8="Fraqueza",COUNTIF(L$6:L8,"Fraqueza"),"")</f>
        <v/>
      </c>
      <c r="Q8" s="1" t="str">
        <f aca="false">Aux!I8</f>
        <v>[Comércio e Serviços] OP-03 – Expansão do turismo de natureza, pesca esportiva e ecoturismo</v>
      </c>
      <c r="R8" s="1" t="str">
        <f aca="false">Aux!J8</f>
        <v>Oportunidade</v>
      </c>
      <c r="S8" s="1" t="n">
        <f aca="false">IF('Fatores Externos (O-A)'!P8="","",'Fatores Externos (O-A)'!P8)</f>
        <v>1</v>
      </c>
      <c r="T8" s="1" t="n">
        <f aca="false">IF(AND(R8="Oportunidade",ISNUMBER(S8)),IF(S8&gt;=Parâmetros!$B$5,1,0),0)</f>
        <v>0</v>
      </c>
      <c r="U8" s="1" t="str">
        <f aca="false">IF(T8=1,SUM(T$6:T8),"")</f>
        <v/>
      </c>
      <c r="V8" s="1" t="n">
        <f aca="false">IF(AND(R8="Ameaça",ISNUMBER(S8)),IF(S8&gt;=Parâmetros!$B$5,1,0),0)</f>
        <v>0</v>
      </c>
      <c r="W8" s="1" t="str">
        <f aca="false">IF(V8=1,SUM(V$6:V8),"")</f>
        <v/>
      </c>
    </row>
    <row r="9" customFormat="false" ht="30" hidden="false" customHeight="true" outlineLevel="0" collapsed="false">
      <c r="A9" s="15"/>
      <c r="B9" s="16" t="n">
        <f aca="false">IF(C9="","",2)</f>
        <v>2</v>
      </c>
      <c r="C9" s="17" t="str">
        <f aca="false">IFERROR(INDEX($K$6:$K$21,MATCH(2,$N$6:$N$21,0)),"")</f>
        <v>[Agropecuária] AGR-03 – Variação do efetivo bovino em 5 anos (%)</v>
      </c>
      <c r="D9" s="18" t="n">
        <f aca="false">IFERROR(INDEX($M$6:$M$21,MATCH(2,$N$6:$N$21,0)),"")</f>
        <v>8.4</v>
      </c>
      <c r="F9" s="19" t="n">
        <f aca="false">IF(G9="","",2)</f>
        <v>2</v>
      </c>
      <c r="G9" s="20" t="str">
        <f aca="false">IFERROR(INDEX($K$6:$K$21,MATCH(2,$O$6:$O$21,0)),"")</f>
        <v>[Comércio e Serviços] CS-01 – Quociente locacional do VAB de serviços, exceto adm. pública (base MT) (índice)</v>
      </c>
      <c r="H9" s="21" t="n">
        <f aca="false">IFERROR(INDEX($M$6:$M$21,MATCH(2,$O$6:$O$21,0)),"")</f>
        <v>0.505</v>
      </c>
      <c r="K9" s="1" t="str">
        <f aca="false">Aux!B9</f>
        <v>[Agropecuária] AGR-04 – Estabelecimentos agropecuários que receberam assistência técnica (%)</v>
      </c>
      <c r="L9" s="1" t="str">
        <f aca="false">'Indicadores (F-W)'!AI9</f>
        <v/>
      </c>
      <c r="M9" s="1" t="str">
        <f aca="false">IF('Indicadores (F-W)'!AH9="","",'Indicadores (F-W)'!AH9)</f>
        <v/>
      </c>
      <c r="N9" s="1" t="str">
        <f aca="false">IF(L9="Força",COUNTIF(L$6:L9,"Força"),"")</f>
        <v/>
      </c>
      <c r="O9" s="1" t="str">
        <f aca="false">IF(L9="Fraqueza",COUNTIF(L$6:L9,"Fraqueza"),"")</f>
        <v/>
      </c>
      <c r="Q9" s="1" t="str">
        <f aca="false">Aux!I9</f>
        <v>[Indústria] OP-04 – Agroindustrialização e verticalização (frigoríficos, laticínios, sucroenergético)</v>
      </c>
      <c r="R9" s="1" t="str">
        <f aca="false">Aux!J9</f>
        <v>Oportunidade</v>
      </c>
      <c r="S9" s="1" t="n">
        <f aca="false">IF('Fatores Externos (O-A)'!P9="","",'Fatores Externos (O-A)'!P9)</f>
        <v>1</v>
      </c>
      <c r="T9" s="1" t="n">
        <f aca="false">IF(AND(R9="Oportunidade",ISNUMBER(S9)),IF(S9&gt;=Parâmetros!$B$5,1,0),0)</f>
        <v>0</v>
      </c>
      <c r="U9" s="1" t="str">
        <f aca="false">IF(T9=1,SUM(T$6:T9),"")</f>
        <v/>
      </c>
      <c r="V9" s="1" t="n">
        <f aca="false">IF(AND(R9="Ameaça",ISNUMBER(S9)),IF(S9&gt;=Parâmetros!$B$5,1,0),0)</f>
        <v>0</v>
      </c>
      <c r="W9" s="1" t="str">
        <f aca="false">IF(V9=1,SUM(V$6:V9),"")</f>
        <v/>
      </c>
    </row>
    <row r="10" customFormat="false" ht="30" hidden="false" customHeight="true" outlineLevel="0" collapsed="false">
      <c r="A10" s="15"/>
      <c r="B10" s="16" t="n">
        <f aca="false">IF(C10="","",3)</f>
        <v>3</v>
      </c>
      <c r="C10" s="17" t="str">
        <f aca="false">IFERROR(INDEX($K$6:$K$21,MATCH(3,$N$6:$N$21,0)),"")</f>
        <v>[Indústria] IND-02 – Variação do emprego formal na indústria em 5 anos (%)</v>
      </c>
      <c r="D10" s="18" t="n">
        <f aca="false">IFERROR(INDEX($M$6:$M$21,MATCH(3,$N$6:$N$21,0)),"")</f>
        <v>633.3</v>
      </c>
      <c r="F10" s="19" t="n">
        <f aca="false">IF(G10="","",3)</f>
        <v>3</v>
      </c>
      <c r="G10" s="20" t="str">
        <f aca="false">IFERROR(INDEX($K$6:$K$21,MATCH(3,$O$6:$O$21,0)),"")</f>
        <v>[Comércio e Serviços] CS-02 – Variação do emprego formal em comércio e serviços em 5 anos (%)</v>
      </c>
      <c r="H10" s="21" t="n">
        <f aca="false">IFERROR(INDEX($M$6:$M$21,MATCH(3,$O$6:$O$21,0)),"")</f>
        <v>-12.56</v>
      </c>
      <c r="K10" s="1" t="str">
        <f aca="false">Aux!B10</f>
        <v>[Agropecuária] AGR-05 – Diversificação agrícola (1 − HHI do valor da produção das lavouras) (índice 0–1)</v>
      </c>
      <c r="L10" s="1" t="str">
        <f aca="false">'Indicadores (F-W)'!AI10</f>
        <v/>
      </c>
      <c r="M10" s="1" t="str">
        <f aca="false">IF('Indicadores (F-W)'!AH10="","",'Indicadores (F-W)'!AH10)</f>
        <v/>
      </c>
      <c r="N10" s="1" t="str">
        <f aca="false">IF(L10="Força",COUNTIF(L$6:L10,"Força"),"")</f>
        <v/>
      </c>
      <c r="O10" s="1" t="str">
        <f aca="false">IF(L10="Fraqueza",COUNTIF(L$6:L10,"Fraqueza"),"")</f>
        <v/>
      </c>
      <c r="Q10" s="1" t="str">
        <f aca="false">Aux!I10</f>
        <v>[Estrutura Econômica e Fiscal] OP-05 – Corredores logísticos (rodovias federais, ferrovia, hidrovia do Paraguai)</v>
      </c>
      <c r="R10" s="1" t="str">
        <f aca="false">Aux!J10</f>
        <v>Oportunidade</v>
      </c>
      <c r="S10" s="1" t="n">
        <f aca="false">IF('Fatores Externos (O-A)'!P10="","",'Fatores Externos (O-A)'!P10)</f>
        <v>2</v>
      </c>
      <c r="T10" s="1" t="n">
        <f aca="false">IF(AND(R10="Oportunidade",ISNUMBER(S10)),IF(S10&gt;=Parâmetros!$B$5,1,0),0)</f>
        <v>1</v>
      </c>
      <c r="U10" s="1" t="n">
        <f aca="false">IF(T10=1,SUM(T$6:T10),"")</f>
        <v>2</v>
      </c>
      <c r="V10" s="1" t="n">
        <f aca="false">IF(AND(R10="Ameaça",ISNUMBER(S10)),IF(S10&gt;=Parâmetros!$B$5,1,0),0)</f>
        <v>0</v>
      </c>
      <c r="W10" s="1" t="str">
        <f aca="false">IF(V10=1,SUM(V$6:V10),"")</f>
        <v/>
      </c>
    </row>
    <row r="11" customFormat="false" ht="30" hidden="false" customHeight="true" outlineLevel="0" collapsed="false">
      <c r="A11" s="15"/>
      <c r="B11" s="16" t="str">
        <f aca="false">IF(C11="","",4)</f>
        <v/>
      </c>
      <c r="C11" s="17" t="str">
        <f aca="false">IFERROR(INDEX($K$6:$K$21,MATCH(4,$N$6:$N$21,0)),"")</f>
        <v/>
      </c>
      <c r="D11" s="18" t="str">
        <f aca="false">IFERROR(INDEX($M$6:$M$21,MATCH(4,$N$6:$N$21,0)),"")</f>
        <v/>
      </c>
      <c r="F11" s="19" t="n">
        <f aca="false">IF(G11="","",4)</f>
        <v>4</v>
      </c>
      <c r="G11" s="20" t="str">
        <f aca="false">IFERROR(INDEX($K$6:$K$21,MATCH(4,$O$6:$O$21,0)),"")</f>
        <v>[Comércio e Serviços] CS-03 – Empresas e outras organizações ativas por mil habitantes (un./mil hab.)</v>
      </c>
      <c r="H11" s="21" t="n">
        <f aca="false">IFERROR(INDEX($M$6:$M$21,MATCH(4,$O$6:$O$21,0)),"")</f>
        <v>13.06</v>
      </c>
      <c r="K11" s="1" t="str">
        <f aca="false">Aux!B11</f>
        <v>[Indústria] IND-01 – Quociente locacional do VAB industrial (base MT) (índice)</v>
      </c>
      <c r="L11" s="1" t="str">
        <f aca="false">'Indicadores (F-W)'!AI11</f>
        <v>Neutro</v>
      </c>
      <c r="M11" s="87" t="n">
        <f aca="false">IF('Indicadores (F-W)'!AH11="","",'Indicadores (F-W)'!AH11)</f>
        <v>1.0107</v>
      </c>
      <c r="N11" s="1" t="str">
        <f aca="false">IF(L11="Força",COUNTIF(L$6:L11,"Força"),"")</f>
        <v/>
      </c>
      <c r="O11" s="1" t="str">
        <f aca="false">IF(L11="Fraqueza",COUNTIF(L$6:L11,"Fraqueza"),"")</f>
        <v/>
      </c>
      <c r="Q11" s="1" t="str">
        <f aca="false">Aux!I11</f>
        <v>[Estrutura Econômica e Fiscal] OP-06 – Instrumentos de fomento e financiamento (FCO, crédito rural, PSA, mercado de carbono)</v>
      </c>
      <c r="R11" s="1" t="str">
        <f aca="false">Aux!J11</f>
        <v>Oportunidade</v>
      </c>
      <c r="S11" s="1" t="n">
        <f aca="false">IF('Fatores Externos (O-A)'!P11="","",'Fatores Externos (O-A)'!P11)</f>
        <v>2</v>
      </c>
      <c r="T11" s="1" t="n">
        <f aca="false">IF(AND(R11="Oportunidade",ISNUMBER(S11)),IF(S11&gt;=Parâmetros!$B$5,1,0),0)</f>
        <v>1</v>
      </c>
      <c r="U11" s="1" t="n">
        <f aca="false">IF(T11=1,SUM(T$6:T11),"")</f>
        <v>3</v>
      </c>
      <c r="V11" s="1" t="n">
        <f aca="false">IF(AND(R11="Ameaça",ISNUMBER(S11)),IF(S11&gt;=Parâmetros!$B$5,1,0),0)</f>
        <v>0</v>
      </c>
      <c r="W11" s="1" t="str">
        <f aca="false">IF(V11=1,SUM(V$6:V11),"")</f>
        <v/>
      </c>
    </row>
    <row r="12" customFormat="false" ht="30" hidden="false" customHeight="true" outlineLevel="0" collapsed="false">
      <c r="A12" s="15"/>
      <c r="B12" s="16" t="str">
        <f aca="false">IF(C12="","",5)</f>
        <v/>
      </c>
      <c r="C12" s="17" t="str">
        <f aca="false">IFERROR(INDEX($K$6:$K$21,MATCH(5,$N$6:$N$21,0)),"")</f>
        <v/>
      </c>
      <c r="D12" s="18" t="str">
        <f aca="false">IFERROR(INDEX($M$6:$M$21,MATCH(5,$N$6:$N$21,0)),"")</f>
        <v/>
      </c>
      <c r="F12" s="19" t="n">
        <f aca="false">IF(G12="","",5)</f>
        <v>5</v>
      </c>
      <c r="G12" s="20" t="str">
        <f aca="false">IFERROR(INDEX($K$6:$K$21,MATCH(5,$O$6:$O$21,0)),"")</f>
        <v>[Estrutura Econômica e Fiscal] EST-01 – PIB per capita (R$)</v>
      </c>
      <c r="H12" s="21" t="n">
        <f aca="false">IFERROR(INDEX($M$6:$M$21,MATCH(5,$O$6:$O$21,0)),"")</f>
        <v>31726.19</v>
      </c>
      <c r="K12" s="1" t="str">
        <f aca="false">Aux!B12</f>
        <v>[Indústria] IND-02 – Variação do emprego formal na indústria em 5 anos (%)</v>
      </c>
      <c r="L12" s="1" t="str">
        <f aca="false">'Indicadores (F-W)'!AI12</f>
        <v>Força</v>
      </c>
      <c r="M12" s="88" t="n">
        <f aca="false">IF('Indicadores (F-W)'!AH12="","",'Indicadores (F-W)'!AH12)</f>
        <v>633.3</v>
      </c>
      <c r="N12" s="1" t="n">
        <f aca="false">IF(L12="Força",COUNTIF(L$6:L12,"Força"),"")</f>
        <v>3</v>
      </c>
      <c r="O12" s="1" t="str">
        <f aca="false">IF(L12="Fraqueza",COUNTIF(L$6:L12,"Fraqueza"),"")</f>
        <v/>
      </c>
      <c r="Q12" s="1" t="str">
        <f aca="false">Aux!I12</f>
        <v>[Agropecuária] AM-01 – Eventos climáticos extremos: secas prolongadas e incêndios no Pantanal</v>
      </c>
      <c r="R12" s="1" t="str">
        <f aca="false">Aux!J12</f>
        <v>Ameaça</v>
      </c>
      <c r="S12" s="1" t="n">
        <f aca="false">IF('Fatores Externos (O-A)'!P12="","",'Fatores Externos (O-A)'!P12)</f>
        <v>2</v>
      </c>
      <c r="T12" s="1" t="n">
        <f aca="false">IF(AND(R12="Oportunidade",ISNUMBER(S12)),IF(S12&gt;=Parâmetros!$B$5,1,0),0)</f>
        <v>0</v>
      </c>
      <c r="U12" s="1" t="str">
        <f aca="false">IF(T12=1,SUM(T$6:T12),"")</f>
        <v/>
      </c>
      <c r="V12" s="1" t="n">
        <f aca="false">IF(AND(R12="Ameaça",ISNUMBER(S12)),IF(S12&gt;=Parâmetros!$B$5,1,0),0)</f>
        <v>1</v>
      </c>
      <c r="W12" s="1" t="n">
        <f aca="false">IF(V12=1,SUM(V$6:V12),"")</f>
        <v>1</v>
      </c>
    </row>
    <row r="13" customFormat="false" ht="30" hidden="false" customHeight="true" outlineLevel="0" collapsed="false">
      <c r="A13" s="15"/>
      <c r="B13" s="16" t="str">
        <f aca="false">IF(C13="","",6)</f>
        <v/>
      </c>
      <c r="C13" s="17" t="str">
        <f aca="false">IFERROR(INDEX($K$6:$K$21,MATCH(6,$N$6:$N$21,0)),"")</f>
        <v/>
      </c>
      <c r="D13" s="18" t="str">
        <f aca="false">IFERROR(INDEX($M$6:$M$21,MATCH(6,$N$6:$N$21,0)),"")</f>
        <v/>
      </c>
      <c r="F13" s="19" t="n">
        <f aca="false">IF(G13="","",6)</f>
        <v>6</v>
      </c>
      <c r="G13" s="20" t="str">
        <f aca="false">IFERROR(INDEX($K$6:$K$21,MATCH(6,$O$6:$O$21,0)),"")</f>
        <v>[Estrutura Econômica e Fiscal] EST-02 – Participação da administração pública no VAB total (%)</v>
      </c>
      <c r="H13" s="21" t="n">
        <f aca="false">IFERROR(INDEX($M$6:$M$21,MATCH(6,$O$6:$O$21,0)),"")</f>
        <v>28.79</v>
      </c>
      <c r="K13" s="1" t="str">
        <f aca="false">Aux!B13</f>
        <v>[Indústria] IND-03 – Remuneração média do emprego formal industrial (R$)</v>
      </c>
      <c r="L13" s="1" t="str">
        <f aca="false">'Indicadores (F-W)'!AI13</f>
        <v>Fraqueza</v>
      </c>
      <c r="M13" s="88" t="n">
        <f aca="false">IF('Indicadores (F-W)'!AH13="","",'Indicadores (F-W)'!AH13)</f>
        <v>1432.11</v>
      </c>
      <c r="N13" s="1" t="str">
        <f aca="false">IF(L13="Força",COUNTIF(L$6:L13,"Força"),"")</f>
        <v/>
      </c>
      <c r="O13" s="1" t="n">
        <f aca="false">IF(L13="Fraqueza",COUNTIF(L$6:L13,"Fraqueza"),"")</f>
        <v>1</v>
      </c>
      <c r="Q13" s="1" t="str">
        <f aca="false">Aux!I13</f>
        <v>[Agropecuária] AM-02 – Volatilidade de preços de commodities (boi gordo, soja, milho)</v>
      </c>
      <c r="R13" s="1" t="str">
        <f aca="false">Aux!J13</f>
        <v>Ameaça</v>
      </c>
      <c r="S13" s="1" t="n">
        <f aca="false">IF('Fatores Externos (O-A)'!P13="","",'Fatores Externos (O-A)'!P13)</f>
        <v>3</v>
      </c>
      <c r="T13" s="1" t="n">
        <f aca="false">IF(AND(R13="Oportunidade",ISNUMBER(S13)),IF(S13&gt;=Parâmetros!$B$5,1,0),0)</f>
        <v>0</v>
      </c>
      <c r="U13" s="1" t="str">
        <f aca="false">IF(T13=1,SUM(T$6:T13),"")</f>
        <v/>
      </c>
      <c r="V13" s="1" t="n">
        <f aca="false">IF(AND(R13="Ameaça",ISNUMBER(S13)),IF(S13&gt;=Parâmetros!$B$5,1,0),0)</f>
        <v>1</v>
      </c>
      <c r="W13" s="1" t="n">
        <f aca="false">IF(V13=1,SUM(V$6:V13),"")</f>
        <v>2</v>
      </c>
    </row>
    <row r="14" customFormat="false" ht="30" hidden="false" customHeight="true" outlineLevel="0" collapsed="false">
      <c r="A14" s="15"/>
      <c r="B14" s="16" t="str">
        <f aca="false">IF(C14="","",7)</f>
        <v/>
      </c>
      <c r="C14" s="17" t="str">
        <f aca="false">IFERROR(INDEX($K$6:$K$21,MATCH(7,$N$6:$N$21,0)),"")</f>
        <v/>
      </c>
      <c r="D14" s="18" t="str">
        <f aca="false">IFERROR(INDEX($M$6:$M$21,MATCH(7,$N$6:$N$21,0)),"")</f>
        <v/>
      </c>
      <c r="F14" s="19" t="n">
        <f aca="false">IF(G14="","",7)</f>
        <v>7</v>
      </c>
      <c r="G14" s="20" t="str">
        <f aca="false">IFERROR(INDEX($K$6:$K$21,MATCH(7,$O$6:$O$21,0)),"")</f>
        <v>[Estrutura Econômica e Fiscal] EST-03 – Vínculos formais por 100 habitantes (vínculos/100 hab.)</v>
      </c>
      <c r="H14" s="21" t="n">
        <f aca="false">IFERROR(INDEX($M$6:$M$21,MATCH(7,$O$6:$O$21,0)),"")</f>
        <v>16.43</v>
      </c>
      <c r="K14" s="1" t="str">
        <f aca="false">Aux!B14</f>
        <v>[Comércio e Serviços] CS-01 – Quociente locacional do VAB de serviços, exceto adm. pública (base MT) (índice)</v>
      </c>
      <c r="L14" s="1" t="str">
        <f aca="false">'Indicadores (F-W)'!AI14</f>
        <v>Fraqueza</v>
      </c>
      <c r="M14" s="87" t="n">
        <f aca="false">IF('Indicadores (F-W)'!AH14="","",'Indicadores (F-W)'!AH14)</f>
        <v>0.505</v>
      </c>
      <c r="N14" s="1" t="str">
        <f aca="false">IF(L14="Força",COUNTIF(L$6:L14,"Força"),"")</f>
        <v/>
      </c>
      <c r="O14" s="1" t="n">
        <f aca="false">IF(L14="Fraqueza",COUNTIF(L$6:L14,"Fraqueza"),"")</f>
        <v>2</v>
      </c>
      <c r="Q14" s="1" t="str">
        <f aca="false">Aux!I14</f>
        <v>[Agropecuária] AM-03 – Exigências ambientais de mercados importadores e barreiras ligadas a desmatamento (ex.: EUDR)</v>
      </c>
      <c r="R14" s="1" t="str">
        <f aca="false">Aux!J14</f>
        <v>Ameaça</v>
      </c>
      <c r="S14" s="1" t="n">
        <f aca="false">IF('Fatores Externos (O-A)'!P14="","",'Fatores Externos (O-A)'!P14)</f>
        <v>2</v>
      </c>
      <c r="T14" s="1" t="n">
        <f aca="false">IF(AND(R14="Oportunidade",ISNUMBER(S14)),IF(S14&gt;=Parâmetros!$B$5,1,0),0)</f>
        <v>0</v>
      </c>
      <c r="U14" s="1" t="str">
        <f aca="false">IF(T14=1,SUM(T$6:T14),"")</f>
        <v/>
      </c>
      <c r="V14" s="1" t="n">
        <f aca="false">IF(AND(R14="Ameaça",ISNUMBER(S14)),IF(S14&gt;=Parâmetros!$B$5,1,0),0)</f>
        <v>1</v>
      </c>
      <c r="W14" s="1" t="n">
        <f aca="false">IF(V14=1,SUM(V$6:V14),"")</f>
        <v>3</v>
      </c>
    </row>
    <row r="15" customFormat="false" ht="30" hidden="false" customHeight="true" outlineLevel="0" collapsed="false">
      <c r="A15" s="15"/>
      <c r="B15" s="16" t="str">
        <f aca="false">IF(C15="","",8)</f>
        <v/>
      </c>
      <c r="C15" s="17" t="str">
        <f aca="false">IFERROR(INDEX($K$6:$K$21,MATCH(8,$N$6:$N$21,0)),"")</f>
        <v/>
      </c>
      <c r="D15" s="18" t="str">
        <f aca="false">IFERROR(INDEX($M$6:$M$21,MATCH(8,$N$6:$N$21,0)),"")</f>
        <v/>
      </c>
      <c r="F15" s="19" t="n">
        <f aca="false">IF(G15="","",8)</f>
        <v>8</v>
      </c>
      <c r="G15" s="20" t="str">
        <f aca="false">IFERROR(INDEX($K$6:$K$21,MATCH(8,$O$6:$O$21,0)),"")</f>
        <v>[Estrutura Econômica e Fiscal] EST-04 – Concentração setorial do emprego formal (HHI por seção CNAE) (índice 0–1)</v>
      </c>
      <c r="H15" s="21" t="n">
        <f aca="false">IFERROR(INDEX($M$6:$M$21,MATCH(8,$O$6:$O$21,0)),"")</f>
        <v>0.3713</v>
      </c>
      <c r="K15" s="1" t="str">
        <f aca="false">Aux!B15</f>
        <v>[Comércio e Serviços] CS-02 – Variação do emprego formal em comércio e serviços em 5 anos (%)</v>
      </c>
      <c r="L15" s="1" t="str">
        <f aca="false">'Indicadores (F-W)'!AI15</f>
        <v>Fraqueza</v>
      </c>
      <c r="M15" s="88" t="n">
        <f aca="false">IF('Indicadores (F-W)'!AH15="","",'Indicadores (F-W)'!AH15)</f>
        <v>-12.56</v>
      </c>
      <c r="N15" s="1" t="str">
        <f aca="false">IF(L15="Força",COUNTIF(L$6:L15,"Força"),"")</f>
        <v/>
      </c>
      <c r="O15" s="1" t="n">
        <f aca="false">IF(L15="Fraqueza",COUNTIF(L$6:L15,"Fraqueza"),"")</f>
        <v>3</v>
      </c>
      <c r="Q15" s="1" t="str">
        <f aca="false">Aux!I15</f>
        <v>[Estrutura Econômica e Fiscal] AM-04 – Transição da Reforma Tributária (IBS/CBS) e efeitos sobre a repartição de receitas municipais</v>
      </c>
      <c r="R15" s="1" t="str">
        <f aca="false">Aux!J15</f>
        <v>Ameaça</v>
      </c>
      <c r="S15" s="1" t="n">
        <f aca="false">IF('Fatores Externos (O-A)'!P15="","",'Fatores Externos (O-A)'!P15)</f>
        <v>1</v>
      </c>
      <c r="T15" s="1" t="n">
        <f aca="false">IF(AND(R15="Oportunidade",ISNUMBER(S15)),IF(S15&gt;=Parâmetros!$B$5,1,0),0)</f>
        <v>0</v>
      </c>
      <c r="U15" s="1" t="str">
        <f aca="false">IF(T15=1,SUM(T$6:T15),"")</f>
        <v/>
      </c>
      <c r="V15" s="1" t="n">
        <f aca="false">IF(AND(R15="Ameaça",ISNUMBER(S15)),IF(S15&gt;=Parâmetros!$B$5,1,0),0)</f>
        <v>0</v>
      </c>
      <c r="W15" s="1" t="str">
        <f aca="false">IF(V15=1,SUM(V$6:V15),"")</f>
        <v/>
      </c>
    </row>
    <row r="16" customFormat="false" ht="30" hidden="false" customHeight="true" outlineLevel="0" collapsed="false">
      <c r="A16" s="15"/>
      <c r="B16" s="16" t="str">
        <f aca="false">IF(C16="","",9)</f>
        <v/>
      </c>
      <c r="C16" s="17" t="str">
        <f aca="false">IFERROR(INDEX($K$6:$K$21,MATCH(9,$N$6:$N$21,0)),"")</f>
        <v/>
      </c>
      <c r="D16" s="18" t="str">
        <f aca="false">IFERROR(INDEX($M$6:$M$21,MATCH(9,$N$6:$N$21,0)),"")</f>
        <v/>
      </c>
      <c r="F16" s="19" t="n">
        <f aca="false">IF(G16="","",9)</f>
        <v>9</v>
      </c>
      <c r="G16" s="20" t="str">
        <f aca="false">IFERROR(INDEX($K$6:$K$21,MATCH(9,$O$6:$O$21,0)),"")</f>
        <v>[Estrutura Econômica e Fiscal] EST-05 – Receitas próprias / receita corrente (%)</v>
      </c>
      <c r="H16" s="21" t="n">
        <f aca="false">IFERROR(INDEX($M$6:$M$21,MATCH(9,$O$6:$O$21,0)),"")</f>
        <v>6.54</v>
      </c>
      <c r="K16" s="1" t="str">
        <f aca="false">Aux!B16</f>
        <v>[Comércio e Serviços] CS-03 – Empresas e outras organizações ativas por mil habitantes (un./mil hab.)</v>
      </c>
      <c r="L16" s="1" t="str">
        <f aca="false">'Indicadores (F-W)'!AI16</f>
        <v>Fraqueza</v>
      </c>
      <c r="M16" s="88" t="n">
        <f aca="false">IF('Indicadores (F-W)'!AH16="","",'Indicadores (F-W)'!AH16)</f>
        <v>13.06</v>
      </c>
      <c r="N16" s="1" t="str">
        <f aca="false">IF(L16="Força",COUNTIF(L$6:L16,"Força"),"")</f>
        <v/>
      </c>
      <c r="O16" s="1" t="n">
        <f aca="false">IF(L16="Fraqueza",COUNTIF(L$6:L16,"Fraqueza"),"")</f>
        <v>4</v>
      </c>
      <c r="Q16" s="1" t="str">
        <f aca="false">Aux!I16</f>
        <v>[Comércio e Serviços] AM-05 – Polarização regional por centros maiores (evasão de consumo, serviços e mão de obra)</v>
      </c>
      <c r="R16" s="1" t="str">
        <f aca="false">Aux!J16</f>
        <v>Ameaça</v>
      </c>
      <c r="S16" s="1" t="n">
        <f aca="false">IF('Fatores Externos (O-A)'!P16="","",'Fatores Externos (O-A)'!P16)</f>
        <v>2</v>
      </c>
      <c r="T16" s="1" t="n">
        <f aca="false">IF(AND(R16="Oportunidade",ISNUMBER(S16)),IF(S16&gt;=Parâmetros!$B$5,1,0),0)</f>
        <v>0</v>
      </c>
      <c r="U16" s="1" t="str">
        <f aca="false">IF(T16=1,SUM(T$6:T16),"")</f>
        <v/>
      </c>
      <c r="V16" s="1" t="n">
        <f aca="false">IF(AND(R16="Ameaça",ISNUMBER(S16)),IF(S16&gt;=Parâmetros!$B$5,1,0),0)</f>
        <v>1</v>
      </c>
      <c r="W16" s="1" t="n">
        <f aca="false">IF(V16=1,SUM(V$6:V16),"")</f>
        <v>4</v>
      </c>
    </row>
    <row r="17" customFormat="false" ht="30" hidden="false" customHeight="true" outlineLevel="0" collapsed="false">
      <c r="A17" s="15"/>
      <c r="B17" s="16" t="str">
        <f aca="false">IF(C17="","",10)</f>
        <v/>
      </c>
      <c r="C17" s="17" t="str">
        <f aca="false">IFERROR(INDEX($K$6:$K$21,MATCH(10,$N$6:$N$21,0)),"")</f>
        <v/>
      </c>
      <c r="D17" s="18" t="str">
        <f aca="false">IFERROR(INDEX($M$6:$M$21,MATCH(10,$N$6:$N$21,0)),"")</f>
        <v/>
      </c>
      <c r="F17" s="19" t="str">
        <f aca="false">IF(G17="","",10)</f>
        <v/>
      </c>
      <c r="G17" s="20" t="str">
        <f aca="false">IFERROR(INDEX($K$6:$K$21,MATCH(10,$O$6:$O$21,0)),"")</f>
        <v/>
      </c>
      <c r="H17" s="21" t="str">
        <f aca="false">IFERROR(INDEX($M$6:$M$21,MATCH(10,$O$6:$O$21,0)),"")</f>
        <v/>
      </c>
      <c r="K17" s="1" t="str">
        <f aca="false">Aux!B17</f>
        <v>[Estrutura Econômica e Fiscal] EST-01 – PIB per capita (R$)</v>
      </c>
      <c r="L17" s="1" t="str">
        <f aca="false">'Indicadores (F-W)'!AI17</f>
        <v>Fraqueza</v>
      </c>
      <c r="M17" s="89" t="n">
        <f aca="false">IF('Indicadores (F-W)'!AH17="","",'Indicadores (F-W)'!AH17)</f>
        <v>31726.19</v>
      </c>
      <c r="N17" s="1" t="str">
        <f aca="false">IF(L17="Força",COUNTIF(L$6:L17,"Força"),"")</f>
        <v/>
      </c>
      <c r="O17" s="1" t="n">
        <f aca="false">IF(L17="Fraqueza",COUNTIF(L$6:L17,"Fraqueza"),"")</f>
        <v>5</v>
      </c>
    </row>
    <row r="18" customFormat="false" ht="30" hidden="false" customHeight="true" outlineLevel="0" collapsed="false">
      <c r="A18" s="15"/>
      <c r="B18" s="16" t="str">
        <f aca="false">IF(C18="","",11)</f>
        <v/>
      </c>
      <c r="C18" s="17" t="str">
        <f aca="false">IFERROR(INDEX($K$6:$K$21,MATCH(11,$N$6:$N$21,0)),"")</f>
        <v/>
      </c>
      <c r="D18" s="18" t="str">
        <f aca="false">IFERROR(INDEX($M$6:$M$21,MATCH(11,$N$6:$N$21,0)),"")</f>
        <v/>
      </c>
      <c r="F18" s="19" t="str">
        <f aca="false">IF(G18="","",11)</f>
        <v/>
      </c>
      <c r="G18" s="20" t="str">
        <f aca="false">IFERROR(INDEX($K$6:$K$21,MATCH(11,$O$6:$O$21,0)),"")</f>
        <v/>
      </c>
      <c r="H18" s="21" t="str">
        <f aca="false">IFERROR(INDEX($M$6:$M$21,MATCH(11,$O$6:$O$21,0)),"")</f>
        <v/>
      </c>
      <c r="K18" s="1" t="str">
        <f aca="false">Aux!B18</f>
        <v>[Estrutura Econômica e Fiscal] EST-02 – Participação da administração pública no VAB total (%)</v>
      </c>
      <c r="L18" s="1" t="str">
        <f aca="false">'Indicadores (F-W)'!AI18</f>
        <v>Fraqueza</v>
      </c>
      <c r="M18" s="90" t="n">
        <f aca="false">IF('Indicadores (F-W)'!AH18="","",'Indicadores (F-W)'!AH18)</f>
        <v>28.79</v>
      </c>
      <c r="N18" s="1" t="str">
        <f aca="false">IF(L18="Força",COUNTIF(L$6:L18,"Força"),"")</f>
        <v/>
      </c>
      <c r="O18" s="1" t="n">
        <f aca="false">IF(L18="Fraqueza",COUNTIF(L$6:L18,"Fraqueza"),"")</f>
        <v>6</v>
      </c>
    </row>
    <row r="19" customFormat="false" ht="30" hidden="false" customHeight="true" outlineLevel="0" collapsed="false">
      <c r="A19" s="15"/>
      <c r="B19" s="16" t="str">
        <f aca="false">IF(C19="","",12)</f>
        <v/>
      </c>
      <c r="C19" s="17" t="str">
        <f aca="false">IFERROR(INDEX($K$6:$K$21,MATCH(12,$N$6:$N$21,0)),"")</f>
        <v/>
      </c>
      <c r="D19" s="18" t="str">
        <f aca="false">IFERROR(INDEX($M$6:$M$21,MATCH(12,$N$6:$N$21,0)),"")</f>
        <v/>
      </c>
      <c r="F19" s="19" t="str">
        <f aca="false">IF(G19="","",12)</f>
        <v/>
      </c>
      <c r="G19" s="20" t="str">
        <f aca="false">IFERROR(INDEX($K$6:$K$21,MATCH(12,$O$6:$O$21,0)),"")</f>
        <v/>
      </c>
      <c r="H19" s="21" t="str">
        <f aca="false">IFERROR(INDEX($M$6:$M$21,MATCH(12,$O$6:$O$21,0)),"")</f>
        <v/>
      </c>
      <c r="K19" s="1" t="str">
        <f aca="false">Aux!B19</f>
        <v>[Estrutura Econômica e Fiscal] EST-03 – Vínculos formais por 100 habitantes (vínculos/100 hab.)</v>
      </c>
      <c r="L19" s="1" t="str">
        <f aca="false">'Indicadores (F-W)'!AI19</f>
        <v>Fraqueza</v>
      </c>
      <c r="M19" s="88" t="n">
        <f aca="false">IF('Indicadores (F-W)'!AH19="","",'Indicadores (F-W)'!AH19)</f>
        <v>16.43</v>
      </c>
      <c r="N19" s="1" t="str">
        <f aca="false">IF(L19="Força",COUNTIF(L$6:L19,"Força"),"")</f>
        <v/>
      </c>
      <c r="O19" s="1" t="n">
        <f aca="false">IF(L19="Fraqueza",COUNTIF(L$6:L19,"Fraqueza"),"")</f>
        <v>7</v>
      </c>
    </row>
    <row r="20" customFormat="false" ht="15" hidden="false" customHeight="true" outlineLevel="0" collapsed="false">
      <c r="C20" s="22" t="str">
        <f aca="false">IF(COUNTIF($L$6:$L$21,"Força")&gt;12,"+ "&amp;(COUNTIF($L$6:$L$21,"Força")-12)&amp;" item(ns) não exibido(s)","")</f>
        <v/>
      </c>
      <c r="G20" s="22" t="str">
        <f aca="false">IF(COUNTIF($L$6:$L$21,"Fraqueza")&gt;12,"+ "&amp;(COUNTIF($L$6:$L$21,"Fraqueza")-12)&amp;" item(ns) não exibido(s)","")</f>
        <v/>
      </c>
      <c r="K20" s="1" t="str">
        <f aca="false">Aux!B20</f>
        <v>[Estrutura Econômica e Fiscal] EST-04 – Concentração setorial do emprego formal (HHI por seção CNAE) (índice 0–1)</v>
      </c>
      <c r="L20" s="1" t="str">
        <f aca="false">'Indicadores (F-W)'!AI20</f>
        <v>Fraqueza</v>
      </c>
      <c r="M20" s="93" t="n">
        <f aca="false">IF('Indicadores (F-W)'!AH20="","",'Indicadores (F-W)'!AH20)</f>
        <v>0.3713</v>
      </c>
      <c r="N20" s="1" t="str">
        <f aca="false">IF(L20="Força",COUNTIF(L$6:L20,"Força"),"")</f>
        <v/>
      </c>
      <c r="O20" s="1" t="n">
        <f aca="false">IF(L20="Fraqueza",COUNTIF(L$6:L20,"Fraqueza"),"")</f>
        <v>8</v>
      </c>
    </row>
    <row r="21" customFormat="false" ht="15" hidden="false" customHeight="true" outlineLevel="0" collapsed="false">
      <c r="K21" s="1" t="str">
        <f aca="false">Aux!B21</f>
        <v>[Estrutura Econômica e Fiscal] EST-05 – Receitas próprias / receita corrente (%)</v>
      </c>
      <c r="L21" s="1" t="str">
        <f aca="false">'Indicadores (F-W)'!AI21</f>
        <v>Fraqueza</v>
      </c>
      <c r="M21" s="88" t="n">
        <f aca="false">IF('Indicadores (F-W)'!AH21="","",'Indicadores (F-W)'!AH21)</f>
        <v>6.54</v>
      </c>
      <c r="N21" s="1" t="str">
        <f aca="false">IF(L21="Força",COUNTIF(L$6:L21,"Força"),"")</f>
        <v/>
      </c>
      <c r="O21" s="1" t="n">
        <f aca="false">IF(L21="Fraqueza",COUNTIF(L$6:L21,"Fraqueza"),"")</f>
        <v>9</v>
      </c>
    </row>
    <row r="22" customFormat="false" ht="15" hidden="false" customHeight="true" outlineLevel="0" collapsed="false">
      <c r="B22" s="23" t="str">
        <f aca="false">"OPORTUNIDADES (O) — "&amp;SUM($T$6:$T$16)&amp;" item(ns)"</f>
        <v>OPORTUNIDADES (O) — 3 item(ns)</v>
      </c>
      <c r="C22" s="23"/>
      <c r="D22" s="23"/>
      <c r="F22" s="24" t="str">
        <f aca="false">"AMEAÇAS (T) — "&amp;SUM($V$6:$V$16)&amp;" item(ns)"</f>
        <v>AMEAÇAS (T) — 4 item(ns)</v>
      </c>
      <c r="G22" s="24"/>
      <c r="H22" s="24"/>
    </row>
    <row r="23" customFormat="false" ht="15" hidden="false" customHeight="true" outlineLevel="0" collapsed="false">
      <c r="B23" s="25" t="s">
        <v>29</v>
      </c>
      <c r="C23" s="25" t="s">
        <v>30</v>
      </c>
      <c r="D23" s="25" t="s">
        <v>33</v>
      </c>
      <c r="F23" s="26" t="s">
        <v>29</v>
      </c>
      <c r="G23" s="26" t="s">
        <v>30</v>
      </c>
      <c r="H23" s="26" t="s">
        <v>33</v>
      </c>
    </row>
    <row r="24" customFormat="false" ht="30" hidden="false" customHeight="true" outlineLevel="0" collapsed="false">
      <c r="A24" s="15" t="s">
        <v>34</v>
      </c>
      <c r="B24" s="27" t="n">
        <f aca="false">IF(C24="","",1)</f>
        <v>1</v>
      </c>
      <c r="C24" s="28" t="str">
        <f aca="false">IFERROR(INDEX($Q$6:$Q$16,MATCH(1,$U$6:$U$16,0)),"")</f>
        <v>[Agropecuária] OP-01 – Demanda externa por carne bovina e proteína animal</v>
      </c>
      <c r="D24" s="29" t="n">
        <f aca="false">IFERROR(INDEX($S$6:$S$16,MATCH(1,$U$6:$U$16,0)),"")</f>
        <v>3</v>
      </c>
      <c r="F24" s="30" t="n">
        <f aca="false">IF(G24="","",1)</f>
        <v>1</v>
      </c>
      <c r="G24" s="31" t="str">
        <f aca="false">IFERROR(INDEX($Q$6:$Q$16,MATCH(1,$W$6:$W$16,0)),"")</f>
        <v>[Agropecuária] AM-01 – Eventos climáticos extremos: secas prolongadas e incêndios no Pantanal</v>
      </c>
      <c r="H24" s="32" t="n">
        <f aca="false">IFERROR(INDEX($S$6:$S$16,MATCH(1,$W$6:$W$16,0)),"")</f>
        <v>2</v>
      </c>
    </row>
    <row r="25" customFormat="false" ht="30" hidden="false" customHeight="true" outlineLevel="0" collapsed="false">
      <c r="A25" s="15"/>
      <c r="B25" s="27" t="n">
        <f aca="false">IF(C25="","",2)</f>
        <v>2</v>
      </c>
      <c r="C25" s="28" t="str">
        <f aca="false">IFERROR(INDEX($Q$6:$Q$16,MATCH(2,$U$6:$U$16,0)),"")</f>
        <v>[Estrutura Econômica e Fiscal] OP-05 – Corredores logísticos (rodovias federais, ferrovia, hidrovia do Paraguai)</v>
      </c>
      <c r="D25" s="29" t="n">
        <f aca="false">IFERROR(INDEX($S$6:$S$16,MATCH(2,$U$6:$U$16,0)),"")</f>
        <v>2</v>
      </c>
      <c r="F25" s="30" t="n">
        <f aca="false">IF(G25="","",2)</f>
        <v>2</v>
      </c>
      <c r="G25" s="31" t="str">
        <f aca="false">IFERROR(INDEX($Q$6:$Q$16,MATCH(2,$W$6:$W$16,0)),"")</f>
        <v>[Agropecuária] AM-02 – Volatilidade de preços de commodities (boi gordo, soja, milho)</v>
      </c>
      <c r="H25" s="32" t="n">
        <f aca="false">IFERROR(INDEX($S$6:$S$16,MATCH(2,$W$6:$W$16,0)),"")</f>
        <v>3</v>
      </c>
    </row>
    <row r="26" customFormat="false" ht="30" hidden="false" customHeight="true" outlineLevel="0" collapsed="false">
      <c r="A26" s="15"/>
      <c r="B26" s="27" t="n">
        <f aca="false">IF(C26="","",3)</f>
        <v>3</v>
      </c>
      <c r="C26" s="28" t="str">
        <f aca="false">IFERROR(INDEX($Q$6:$Q$16,MATCH(3,$U$6:$U$16,0)),"")</f>
        <v>[Estrutura Econômica e Fiscal] OP-06 – Instrumentos de fomento e financiamento (FCO, crédito rural, PSA, mercado de carbono)</v>
      </c>
      <c r="D26" s="29" t="n">
        <f aca="false">IFERROR(INDEX($S$6:$S$16,MATCH(3,$U$6:$U$16,0)),"")</f>
        <v>2</v>
      </c>
      <c r="F26" s="30" t="n">
        <f aca="false">IF(G26="","",3)</f>
        <v>3</v>
      </c>
      <c r="G26" s="31" t="str">
        <f aca="false">IFERROR(INDEX($Q$6:$Q$16,MATCH(3,$W$6:$W$16,0)),"")</f>
        <v>[Agropecuária] AM-03 – Exigências ambientais de mercados importadores e barreiras ligadas a desmatamento (ex.: EUDR)</v>
      </c>
      <c r="H26" s="32" t="n">
        <f aca="false">IFERROR(INDEX($S$6:$S$16,MATCH(3,$W$6:$W$16,0)),"")</f>
        <v>2</v>
      </c>
    </row>
    <row r="27" customFormat="false" ht="30" hidden="false" customHeight="true" outlineLevel="0" collapsed="false">
      <c r="A27" s="15"/>
      <c r="B27" s="27" t="str">
        <f aca="false">IF(C27="","",4)</f>
        <v/>
      </c>
      <c r="C27" s="28" t="str">
        <f aca="false">IFERROR(INDEX($Q$6:$Q$16,MATCH(4,$U$6:$U$16,0)),"")</f>
        <v/>
      </c>
      <c r="D27" s="29" t="str">
        <f aca="false">IFERROR(INDEX($S$6:$S$16,MATCH(4,$U$6:$U$16,0)),"")</f>
        <v/>
      </c>
      <c r="F27" s="30" t="n">
        <f aca="false">IF(G27="","",4)</f>
        <v>4</v>
      </c>
      <c r="G27" s="31" t="str">
        <f aca="false">IFERROR(INDEX($Q$6:$Q$16,MATCH(4,$W$6:$W$16,0)),"")</f>
        <v>[Comércio e Serviços] AM-05 – Polarização regional por centros maiores (evasão de consumo, serviços e mão de obra)</v>
      </c>
      <c r="H27" s="32" t="n">
        <f aca="false">IFERROR(INDEX($S$6:$S$16,MATCH(4,$W$6:$W$16,0)),"")</f>
        <v>2</v>
      </c>
    </row>
    <row r="28" customFormat="false" ht="30" hidden="false" customHeight="true" outlineLevel="0" collapsed="false">
      <c r="A28" s="15"/>
      <c r="B28" s="27" t="str">
        <f aca="false">IF(C28="","",5)</f>
        <v/>
      </c>
      <c r="C28" s="28" t="str">
        <f aca="false">IFERROR(INDEX($Q$6:$Q$16,MATCH(5,$U$6:$U$16,0)),"")</f>
        <v/>
      </c>
      <c r="D28" s="29" t="str">
        <f aca="false">IFERROR(INDEX($S$6:$S$16,MATCH(5,$U$6:$U$16,0)),"")</f>
        <v/>
      </c>
      <c r="F28" s="30" t="str">
        <f aca="false">IF(G28="","",5)</f>
        <v/>
      </c>
      <c r="G28" s="31" t="str">
        <f aca="false">IFERROR(INDEX($Q$6:$Q$16,MATCH(5,$W$6:$W$16,0)),"")</f>
        <v/>
      </c>
      <c r="H28" s="32" t="str">
        <f aca="false">IFERROR(INDEX($S$6:$S$16,MATCH(5,$W$6:$W$16,0)),"")</f>
        <v/>
      </c>
    </row>
    <row r="29" customFormat="false" ht="30" hidden="false" customHeight="true" outlineLevel="0" collapsed="false">
      <c r="A29" s="15"/>
      <c r="B29" s="27" t="str">
        <f aca="false">IF(C29="","",6)</f>
        <v/>
      </c>
      <c r="C29" s="28" t="str">
        <f aca="false">IFERROR(INDEX($Q$6:$Q$16,MATCH(6,$U$6:$U$16,0)),"")</f>
        <v/>
      </c>
      <c r="D29" s="29" t="str">
        <f aca="false">IFERROR(INDEX($S$6:$S$16,MATCH(6,$U$6:$U$16,0)),"")</f>
        <v/>
      </c>
      <c r="F29" s="30" t="str">
        <f aca="false">IF(G29="","",6)</f>
        <v/>
      </c>
      <c r="G29" s="31" t="str">
        <f aca="false">IFERROR(INDEX($Q$6:$Q$16,MATCH(6,$W$6:$W$16,0)),"")</f>
        <v/>
      </c>
      <c r="H29" s="32" t="str">
        <f aca="false">IFERROR(INDEX($S$6:$S$16,MATCH(6,$W$6:$W$16,0)),"")</f>
        <v/>
      </c>
    </row>
    <row r="30" customFormat="false" ht="30" hidden="false" customHeight="true" outlineLevel="0" collapsed="false">
      <c r="A30" s="15"/>
      <c r="B30" s="27" t="str">
        <f aca="false">IF(C30="","",7)</f>
        <v/>
      </c>
      <c r="C30" s="28" t="str">
        <f aca="false">IFERROR(INDEX($Q$6:$Q$16,MATCH(7,$U$6:$U$16,0)),"")</f>
        <v/>
      </c>
      <c r="D30" s="29" t="str">
        <f aca="false">IFERROR(INDEX($S$6:$S$16,MATCH(7,$U$6:$U$16,0)),"")</f>
        <v/>
      </c>
      <c r="F30" s="30" t="str">
        <f aca="false">IF(G30="","",7)</f>
        <v/>
      </c>
      <c r="G30" s="31" t="str">
        <f aca="false">IFERROR(INDEX($Q$6:$Q$16,MATCH(7,$W$6:$W$16,0)),"")</f>
        <v/>
      </c>
      <c r="H30" s="32" t="str">
        <f aca="false">IFERROR(INDEX($S$6:$S$16,MATCH(7,$W$6:$W$16,0)),"")</f>
        <v/>
      </c>
    </row>
    <row r="31" customFormat="false" ht="30" hidden="false" customHeight="true" outlineLevel="0" collapsed="false">
      <c r="A31" s="15"/>
      <c r="B31" s="27" t="str">
        <f aca="false">IF(C31="","",8)</f>
        <v/>
      </c>
      <c r="C31" s="28" t="str">
        <f aca="false">IFERROR(INDEX($Q$6:$Q$16,MATCH(8,$U$6:$U$16,0)),"")</f>
        <v/>
      </c>
      <c r="D31" s="29" t="str">
        <f aca="false">IFERROR(INDEX($S$6:$S$16,MATCH(8,$U$6:$U$16,0)),"")</f>
        <v/>
      </c>
      <c r="F31" s="30" t="str">
        <f aca="false">IF(G31="","",8)</f>
        <v/>
      </c>
      <c r="G31" s="31" t="str">
        <f aca="false">IFERROR(INDEX($Q$6:$Q$16,MATCH(8,$W$6:$W$16,0)),"")</f>
        <v/>
      </c>
      <c r="H31" s="32" t="str">
        <f aca="false">IFERROR(INDEX($S$6:$S$16,MATCH(8,$W$6:$W$16,0)),"")</f>
        <v/>
      </c>
    </row>
    <row r="32" customFormat="false" ht="30" hidden="false" customHeight="true" outlineLevel="0" collapsed="false">
      <c r="A32" s="15"/>
      <c r="B32" s="27" t="str">
        <f aca="false">IF(C32="","",9)</f>
        <v/>
      </c>
      <c r="C32" s="28" t="str">
        <f aca="false">IFERROR(INDEX($Q$6:$Q$16,MATCH(9,$U$6:$U$16,0)),"")</f>
        <v/>
      </c>
      <c r="D32" s="29" t="str">
        <f aca="false">IFERROR(INDEX($S$6:$S$16,MATCH(9,$U$6:$U$16,0)),"")</f>
        <v/>
      </c>
      <c r="F32" s="30" t="str">
        <f aca="false">IF(G32="","",9)</f>
        <v/>
      </c>
      <c r="G32" s="31" t="str">
        <f aca="false">IFERROR(INDEX($Q$6:$Q$16,MATCH(9,$W$6:$W$16,0)),"")</f>
        <v/>
      </c>
      <c r="H32" s="32" t="str">
        <f aca="false">IFERROR(INDEX($S$6:$S$16,MATCH(9,$W$6:$W$16,0)),"")</f>
        <v/>
      </c>
    </row>
    <row r="33" customFormat="false" ht="30" hidden="false" customHeight="true" outlineLevel="0" collapsed="false">
      <c r="A33" s="15"/>
      <c r="B33" s="27" t="str">
        <f aca="false">IF(C33="","",10)</f>
        <v/>
      </c>
      <c r="C33" s="28" t="str">
        <f aca="false">IFERROR(INDEX($Q$6:$Q$16,MATCH(10,$U$6:$U$16,0)),"")</f>
        <v/>
      </c>
      <c r="D33" s="29" t="str">
        <f aca="false">IFERROR(INDEX($S$6:$S$16,MATCH(10,$U$6:$U$16,0)),"")</f>
        <v/>
      </c>
      <c r="F33" s="30" t="str">
        <f aca="false">IF(G33="","",10)</f>
        <v/>
      </c>
      <c r="G33" s="31" t="str">
        <f aca="false">IFERROR(INDEX($Q$6:$Q$16,MATCH(10,$W$6:$W$16,0)),"")</f>
        <v/>
      </c>
      <c r="H33" s="32" t="str">
        <f aca="false">IFERROR(INDEX($S$6:$S$16,MATCH(10,$W$6:$W$16,0)),"")</f>
        <v/>
      </c>
    </row>
    <row r="34" customFormat="false" ht="30" hidden="false" customHeight="true" outlineLevel="0" collapsed="false">
      <c r="A34" s="15"/>
      <c r="B34" s="27" t="str">
        <f aca="false">IF(C34="","",11)</f>
        <v/>
      </c>
      <c r="C34" s="28" t="str">
        <f aca="false">IFERROR(INDEX($Q$6:$Q$16,MATCH(11,$U$6:$U$16,0)),"")</f>
        <v/>
      </c>
      <c r="D34" s="29" t="str">
        <f aca="false">IFERROR(INDEX($S$6:$S$16,MATCH(11,$U$6:$U$16,0)),"")</f>
        <v/>
      </c>
      <c r="F34" s="30" t="str">
        <f aca="false">IF(G34="","",11)</f>
        <v/>
      </c>
      <c r="G34" s="31" t="str">
        <f aca="false">IFERROR(INDEX($Q$6:$Q$16,MATCH(11,$W$6:$W$16,0)),"")</f>
        <v/>
      </c>
      <c r="H34" s="32" t="str">
        <f aca="false">IFERROR(INDEX($S$6:$S$16,MATCH(11,$W$6:$W$16,0)),"")</f>
        <v/>
      </c>
    </row>
    <row r="35" customFormat="false" ht="30" hidden="false" customHeight="true" outlineLevel="0" collapsed="false">
      <c r="A35" s="15"/>
      <c r="B35" s="27" t="str">
        <f aca="false">IF(C35="","",12)</f>
        <v/>
      </c>
      <c r="C35" s="28" t="str">
        <f aca="false">IFERROR(INDEX($Q$6:$Q$16,MATCH(12,$U$6:$U$16,0)),"")</f>
        <v/>
      </c>
      <c r="D35" s="29" t="str">
        <f aca="false">IFERROR(INDEX($S$6:$S$16,MATCH(12,$U$6:$U$16,0)),"")</f>
        <v/>
      </c>
      <c r="F35" s="30" t="str">
        <f aca="false">IF(G35="","",12)</f>
        <v/>
      </c>
      <c r="G35" s="31" t="str">
        <f aca="false">IFERROR(INDEX($Q$6:$Q$16,MATCH(12,$W$6:$W$16,0)),"")</f>
        <v/>
      </c>
      <c r="H35" s="32" t="str">
        <f aca="false">IFERROR(INDEX($S$6:$S$16,MATCH(12,$W$6:$W$16,0)),"")</f>
        <v/>
      </c>
    </row>
    <row r="36" customFormat="false" ht="15" hidden="false" customHeight="true" outlineLevel="0" collapsed="false">
      <c r="C36" s="22" t="str">
        <f aca="false">IF(SUM($T$6:$T$16)&gt;12,"+ "&amp;(SUM($T$6:$T$16)-12)&amp;" item(ns) não exibido(s)","")</f>
        <v/>
      </c>
      <c r="G36" s="22" t="str">
        <f aca="false">IF(SUM($V$6:$V$16)&gt;12,"+ "&amp;(SUM($V$6:$V$16)-12)&amp;" item(ns) não exibido(s)","")</f>
        <v/>
      </c>
    </row>
    <row r="38" customFormat="false" ht="15" hidden="false" customHeight="true" outlineLevel="0" collapsed="false">
      <c r="B38" s="33" t="s">
        <v>329</v>
      </c>
    </row>
  </sheetData>
  <mergeCells count="8">
    <mergeCell ref="B5:D5"/>
    <mergeCell ref="F5:H5"/>
    <mergeCell ref="B6:D6"/>
    <mergeCell ref="F6:H6"/>
    <mergeCell ref="A8:A19"/>
    <mergeCell ref="B22:D22"/>
    <mergeCell ref="F22:H22"/>
    <mergeCell ref="A24:A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W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"/>
    <col collapsed="false" customWidth="true" hidden="false" outlineLevel="0" max="3" min="3" style="1" width="55"/>
    <col collapsed="false" customWidth="true" hidden="false" outlineLevel="0" max="4" min="4" style="1" width="12"/>
    <col collapsed="false" customWidth="true" hidden="false" outlineLevel="0" max="5" min="5" style="1" width="2"/>
    <col collapsed="false" customWidth="true" hidden="false" outlineLevel="0" max="6" min="6" style="1" width="5"/>
    <col collapsed="false" customWidth="true" hidden="false" outlineLevel="0" max="7" min="7" style="1" width="55"/>
    <col collapsed="false" customWidth="true" hidden="false" outlineLevel="0" max="8" min="8" style="1" width="12"/>
    <col collapsed="false" customWidth="true" hidden="true" outlineLevel="0" max="23" min="11" style="1" width="13"/>
  </cols>
  <sheetData>
    <row r="1" customFormat="false" ht="17.25" hidden="false" customHeight="true" outlineLevel="0" collapsed="false">
      <c r="B1" s="91" t="s">
        <v>340</v>
      </c>
    </row>
    <row r="2" customFormat="false" ht="15" hidden="false" customHeight="true" outlineLevel="0" collapsed="false">
      <c r="B2" s="9" t="s">
        <v>328</v>
      </c>
    </row>
    <row r="3" customFormat="false" ht="15" hidden="false" customHeight="true" outlineLevel="0" collapsed="false">
      <c r="B3" s="92" t="str">
        <f aca="false">"Indicadores internos com dado: "&amp;(COUNTA(L6:L21)-COUNTBLANK(L6:L21))&amp;" de 16  |  Neutros: "&amp;COUNTIF(L6:L21,"Neutro")&amp;"  |  Fatores externos pontuados: "&amp;COUNT(S6:S16)&amp;" de 11"</f>
        <v>Indicadores internos com dado: 14 de 16  |  Neutros: 7  |  Fatores externos pontuados: 11 de 11</v>
      </c>
    </row>
    <row r="5" customFormat="false" ht="15" hidden="false" customHeight="true" outlineLevel="0" collapsed="false">
      <c r="B5" s="10" t="s">
        <v>27</v>
      </c>
      <c r="C5" s="10"/>
      <c r="D5" s="10"/>
      <c r="F5" s="10" t="s">
        <v>28</v>
      </c>
      <c r="G5" s="10"/>
      <c r="H5" s="10"/>
    </row>
    <row r="6" customFormat="false" ht="15" hidden="false" customHeight="true" outlineLevel="0" collapsed="false">
      <c r="B6" s="11" t="str">
        <f aca="false">"FORÇAS (S) — "&amp;COUNTIF($L$6:$L$21,"Força")&amp;" item(ns)"</f>
        <v>FORÇAS (S) — 4 item(ns)</v>
      </c>
      <c r="C6" s="11"/>
      <c r="D6" s="11"/>
      <c r="F6" s="12" t="str">
        <f aca="false">"FRAQUEZAS (W) — "&amp;COUNTIF($L$6:$L$21,"Fraqueza")&amp;" item(ns)"</f>
        <v>FRAQUEZAS (W) — 3 item(ns)</v>
      </c>
      <c r="G6" s="12"/>
      <c r="H6" s="12"/>
      <c r="K6" s="1" t="str">
        <f aca="false">Aux!B6</f>
        <v>[Agropecuária] AGR-01 – Quociente locacional do VAB agropecuário (base MT) (índice)</v>
      </c>
      <c r="L6" s="1" t="str">
        <f aca="false">'Indicadores (F-W)'!AK6</f>
        <v>Fraqueza</v>
      </c>
      <c r="M6" s="87" t="n">
        <f aca="false">IF('Indicadores (F-W)'!AJ6="","",'Indicadores (F-W)'!AJ6)</f>
        <v>0.1067</v>
      </c>
      <c r="N6" s="1" t="str">
        <f aca="false">IF(L6="Força",COUNTIF(L$6:L6,"Força"),"")</f>
        <v/>
      </c>
      <c r="O6" s="1" t="n">
        <f aca="false">IF(L6="Fraqueza",COUNTIF(L$6:L6,"Fraqueza"),"")</f>
        <v>1</v>
      </c>
      <c r="Q6" s="1" t="str">
        <f aca="false">Aux!I6</f>
        <v>[Agropecuária] OP-01 – Demanda externa por carne bovina e proteína animal</v>
      </c>
      <c r="R6" s="1" t="str">
        <f aca="false">Aux!J6</f>
        <v>Oportunidade</v>
      </c>
      <c r="S6" s="1" t="n">
        <f aca="false">IF('Fatores Externos (O-A)'!Q6="","",'Fatores Externos (O-A)'!Q6)</f>
        <v>2</v>
      </c>
      <c r="T6" s="1" t="n">
        <f aca="false">IF(AND(R6="Oportunidade",ISNUMBER(S6)),IF(S6&gt;=Parâmetros!$B$5,1,0),0)</f>
        <v>1</v>
      </c>
      <c r="U6" s="1" t="n">
        <f aca="false">IF(T6=1,SUM(T$6:T6),"")</f>
        <v>1</v>
      </c>
      <c r="V6" s="1" t="n">
        <f aca="false">IF(AND(R6="Ameaça",ISNUMBER(S6)),IF(S6&gt;=Parâmetros!$B$5,1,0),0)</f>
        <v>0</v>
      </c>
      <c r="W6" s="1" t="str">
        <f aca="false">IF(V6=1,SUM(V$6:V6),"")</f>
        <v/>
      </c>
    </row>
    <row r="7" customFormat="false" ht="15" hidden="false" customHeight="true" outlineLevel="0" collapsed="false">
      <c r="B7" s="13" t="s">
        <v>29</v>
      </c>
      <c r="C7" s="13" t="s">
        <v>30</v>
      </c>
      <c r="D7" s="13" t="s">
        <v>31</v>
      </c>
      <c r="F7" s="14" t="s">
        <v>29</v>
      </c>
      <c r="G7" s="14" t="s">
        <v>30</v>
      </c>
      <c r="H7" s="14" t="s">
        <v>31</v>
      </c>
      <c r="K7" s="1" t="str">
        <f aca="false">Aux!B7</f>
        <v>[Agropecuária] AGR-02 – Valor da produção das lavouras por área colhida (R$/ha)</v>
      </c>
      <c r="L7" s="1" t="str">
        <f aca="false">'Indicadores (F-W)'!AK7</f>
        <v>Neutro</v>
      </c>
      <c r="M7" s="88" t="n">
        <f aca="false">IF('Indicadores (F-W)'!AJ7="","",'Indicadores (F-W)'!AJ7)</f>
        <v>5354.94</v>
      </c>
      <c r="N7" s="1" t="str">
        <f aca="false">IF(L7="Força",COUNTIF(L$6:L7,"Força"),"")</f>
        <v/>
      </c>
      <c r="O7" s="1" t="str">
        <f aca="false">IF(L7="Fraqueza",COUNTIF(L$6:L7,"Fraqueza"),"")</f>
        <v/>
      </c>
      <c r="Q7" s="1" t="str">
        <f aca="false">Aux!I7</f>
        <v>[Agropecuária] OP-02 – Mercados para produtos diferenciados e certificados (carne sustentável/orgânica, origem Pantanal)</v>
      </c>
      <c r="R7" s="1" t="str">
        <f aca="false">Aux!J7</f>
        <v>Oportunidade</v>
      </c>
      <c r="S7" s="1" t="n">
        <f aca="false">IF('Fatores Externos (O-A)'!Q7="","",'Fatores Externos (O-A)'!Q7)</f>
        <v>1</v>
      </c>
      <c r="T7" s="1" t="n">
        <f aca="false">IF(AND(R7="Oportunidade",ISNUMBER(S7)),IF(S7&gt;=Parâmetros!$B$5,1,0),0)</f>
        <v>0</v>
      </c>
      <c r="U7" s="1" t="str">
        <f aca="false">IF(T7=1,SUM(T$6:T7),"")</f>
        <v/>
      </c>
      <c r="V7" s="1" t="n">
        <f aca="false">IF(AND(R7="Ameaça",ISNUMBER(S7)),IF(S7&gt;=Parâmetros!$B$5,1,0),0)</f>
        <v>0</v>
      </c>
      <c r="W7" s="1" t="str">
        <f aca="false">IF(V7=1,SUM(V$6:V7),"")</f>
        <v/>
      </c>
    </row>
    <row r="8" customFormat="false" ht="30" hidden="false" customHeight="true" outlineLevel="0" collapsed="false">
      <c r="A8" s="15" t="s">
        <v>32</v>
      </c>
      <c r="B8" s="16" t="n">
        <f aca="false">IF(C8="","",1)</f>
        <v>1</v>
      </c>
      <c r="C8" s="17" t="str">
        <f aca="false">IFERROR(INDEX($K$6:$K$21,MATCH(1,$N$6:$N$21,0)),"")</f>
        <v>[Indústria] IND-01 – Quociente locacional do VAB industrial (base MT) (índice)</v>
      </c>
      <c r="D8" s="18" t="n">
        <f aca="false">IFERROR(INDEX($M$6:$M$21,MATCH(1,$N$6:$N$21,0)),"")</f>
        <v>1.8691</v>
      </c>
      <c r="F8" s="19" t="n">
        <f aca="false">IF(G8="","",1)</f>
        <v>1</v>
      </c>
      <c r="G8" s="20" t="str">
        <f aca="false">IFERROR(INDEX($K$6:$K$21,MATCH(1,$O$6:$O$21,0)),"")</f>
        <v>[Agropecuária] AGR-01 – Quociente locacional do VAB agropecuário (base MT) (índice)</v>
      </c>
      <c r="H8" s="21" t="n">
        <f aca="false">IFERROR(INDEX($M$6:$M$21,MATCH(1,$O$6:$O$21,0)),"")</f>
        <v>0.1067</v>
      </c>
      <c r="K8" s="1" t="str">
        <f aca="false">Aux!B8</f>
        <v>[Agropecuária] AGR-03 – Variação do efetivo bovino em 5 anos (%)</v>
      </c>
      <c r="L8" s="1" t="str">
        <f aca="false">'Indicadores (F-W)'!AK8</f>
        <v>Fraqueza</v>
      </c>
      <c r="M8" s="88" t="n">
        <f aca="false">IF('Indicadores (F-W)'!AJ8="","",'Indicadores (F-W)'!AJ8)</f>
        <v>0.39</v>
      </c>
      <c r="N8" s="1" t="str">
        <f aca="false">IF(L8="Força",COUNTIF(L$6:L8,"Força"),"")</f>
        <v/>
      </c>
      <c r="O8" s="1" t="n">
        <f aca="false">IF(L8="Fraqueza",COUNTIF(L$6:L8,"Fraqueza"),"")</f>
        <v>2</v>
      </c>
      <c r="Q8" s="1" t="str">
        <f aca="false">Aux!I8</f>
        <v>[Comércio e Serviços] OP-03 – Expansão do turismo de natureza, pesca esportiva e ecoturismo</v>
      </c>
      <c r="R8" s="1" t="str">
        <f aca="false">Aux!J8</f>
        <v>Oportunidade</v>
      </c>
      <c r="S8" s="1" t="n">
        <f aca="false">IF('Fatores Externos (O-A)'!Q8="","",'Fatores Externos (O-A)'!Q8)</f>
        <v>2</v>
      </c>
      <c r="T8" s="1" t="n">
        <f aca="false">IF(AND(R8="Oportunidade",ISNUMBER(S8)),IF(S8&gt;=Parâmetros!$B$5,1,0),0)</f>
        <v>1</v>
      </c>
      <c r="U8" s="1" t="n">
        <f aca="false">IF(T8=1,SUM(T$6:T8),"")</f>
        <v>2</v>
      </c>
      <c r="V8" s="1" t="n">
        <f aca="false">IF(AND(R8="Ameaça",ISNUMBER(S8)),IF(S8&gt;=Parâmetros!$B$5,1,0),0)</f>
        <v>0</v>
      </c>
      <c r="W8" s="1" t="str">
        <f aca="false">IF(V8=1,SUM(V$6:V8),"")</f>
        <v/>
      </c>
    </row>
    <row r="9" customFormat="false" ht="30" hidden="false" customHeight="true" outlineLevel="0" collapsed="false">
      <c r="A9" s="15"/>
      <c r="B9" s="16" t="n">
        <f aca="false">IF(C9="","",2)</f>
        <v>2</v>
      </c>
      <c r="C9" s="17" t="str">
        <f aca="false">IFERROR(INDEX($K$6:$K$21,MATCH(2,$N$6:$N$21,0)),"")</f>
        <v>[Comércio e Serviços] CS-01 – Quociente locacional do VAB de serviços, exceto adm. pública (base MT) (índice)</v>
      </c>
      <c r="D9" s="18" t="n">
        <f aca="false">IFERROR(INDEX($M$6:$M$21,MATCH(2,$N$6:$N$21,0)),"")</f>
        <v>1.5988</v>
      </c>
      <c r="F9" s="19" t="n">
        <f aca="false">IF(G9="","",2)</f>
        <v>2</v>
      </c>
      <c r="G9" s="20" t="str">
        <f aca="false">IFERROR(INDEX($K$6:$K$21,MATCH(2,$O$6:$O$21,0)),"")</f>
        <v>[Agropecuária] AGR-03 – Variação do efetivo bovino em 5 anos (%)</v>
      </c>
      <c r="H9" s="21" t="n">
        <f aca="false">IFERROR(INDEX($M$6:$M$21,MATCH(2,$O$6:$O$21,0)),"")</f>
        <v>0.39</v>
      </c>
      <c r="K9" s="1" t="str">
        <f aca="false">Aux!B9</f>
        <v>[Agropecuária] AGR-04 – Estabelecimentos agropecuários que receberam assistência técnica (%)</v>
      </c>
      <c r="L9" s="1" t="str">
        <f aca="false">'Indicadores (F-W)'!AK9</f>
        <v/>
      </c>
      <c r="M9" s="1" t="str">
        <f aca="false">IF('Indicadores (F-W)'!AJ9="","",'Indicadores (F-W)'!AJ9)</f>
        <v/>
      </c>
      <c r="N9" s="1" t="str">
        <f aca="false">IF(L9="Força",COUNTIF(L$6:L9,"Força"),"")</f>
        <v/>
      </c>
      <c r="O9" s="1" t="str">
        <f aca="false">IF(L9="Fraqueza",COUNTIF(L$6:L9,"Fraqueza"),"")</f>
        <v/>
      </c>
      <c r="Q9" s="1" t="str">
        <f aca="false">Aux!I9</f>
        <v>[Indústria] OP-04 – Agroindustrialização e verticalização (frigoríficos, laticínios, sucroenergético)</v>
      </c>
      <c r="R9" s="1" t="str">
        <f aca="false">Aux!J9</f>
        <v>Oportunidade</v>
      </c>
      <c r="S9" s="1" t="n">
        <f aca="false">IF('Fatores Externos (O-A)'!Q9="","",'Fatores Externos (O-A)'!Q9)</f>
        <v>3</v>
      </c>
      <c r="T9" s="1" t="n">
        <f aca="false">IF(AND(R9="Oportunidade",ISNUMBER(S9)),IF(S9&gt;=Parâmetros!$B$5,1,0),0)</f>
        <v>1</v>
      </c>
      <c r="U9" s="1" t="n">
        <f aca="false">IF(T9=1,SUM(T$6:T9),"")</f>
        <v>3</v>
      </c>
      <c r="V9" s="1" t="n">
        <f aca="false">IF(AND(R9="Ameaça",ISNUMBER(S9)),IF(S9&gt;=Parâmetros!$B$5,1,0),0)</f>
        <v>0</v>
      </c>
      <c r="W9" s="1" t="str">
        <f aca="false">IF(V9=1,SUM(V$6:V9),"")</f>
        <v/>
      </c>
    </row>
    <row r="10" customFormat="false" ht="30" hidden="false" customHeight="true" outlineLevel="0" collapsed="false">
      <c r="A10" s="15"/>
      <c r="B10" s="16" t="n">
        <f aca="false">IF(C10="","",3)</f>
        <v>3</v>
      </c>
      <c r="C10" s="17" t="str">
        <f aca="false">IFERROR(INDEX($K$6:$K$21,MATCH(3,$N$6:$N$21,0)),"")</f>
        <v>[Comércio e Serviços] CS-03 – Empresas e outras organizações ativas por mil habitantes (un./mil hab.)</v>
      </c>
      <c r="D10" s="18" t="n">
        <f aca="false">IFERROR(INDEX($M$6:$M$21,MATCH(3,$N$6:$N$21,0)),"")</f>
        <v>36.86</v>
      </c>
      <c r="F10" s="19" t="n">
        <f aca="false">IF(G10="","",3)</f>
        <v>3</v>
      </c>
      <c r="G10" s="20" t="str">
        <f aca="false">IFERROR(INDEX($K$6:$K$21,MATCH(3,$O$6:$O$21,0)),"")</f>
        <v>[Indústria] IND-02 – Variação do emprego formal na indústria em 5 anos (%)</v>
      </c>
      <c r="H10" s="21" t="n">
        <f aca="false">IFERROR(INDEX($M$6:$M$21,MATCH(3,$O$6:$O$21,0)),"")</f>
        <v>30.12</v>
      </c>
      <c r="K10" s="1" t="str">
        <f aca="false">Aux!B10</f>
        <v>[Agropecuária] AGR-05 – Diversificação agrícola (1 − HHI do valor da produção das lavouras) (índice 0–1)</v>
      </c>
      <c r="L10" s="1" t="str">
        <f aca="false">'Indicadores (F-W)'!AK10</f>
        <v/>
      </c>
      <c r="M10" s="1" t="str">
        <f aca="false">IF('Indicadores (F-W)'!AJ10="","",'Indicadores (F-W)'!AJ10)</f>
        <v/>
      </c>
      <c r="N10" s="1" t="str">
        <f aca="false">IF(L10="Força",COUNTIF(L$6:L10,"Força"),"")</f>
        <v/>
      </c>
      <c r="O10" s="1" t="str">
        <f aca="false">IF(L10="Fraqueza",COUNTIF(L$6:L10,"Fraqueza"),"")</f>
        <v/>
      </c>
      <c r="Q10" s="1" t="str">
        <f aca="false">Aux!I10</f>
        <v>[Estrutura Econômica e Fiscal] OP-05 – Corredores logísticos (rodovias federais, ferrovia, hidrovia do Paraguai)</v>
      </c>
      <c r="R10" s="1" t="str">
        <f aca="false">Aux!J10</f>
        <v>Oportunidade</v>
      </c>
      <c r="S10" s="1" t="n">
        <f aca="false">IF('Fatores Externos (O-A)'!Q10="","",'Fatores Externos (O-A)'!Q10)</f>
        <v>3</v>
      </c>
      <c r="T10" s="1" t="n">
        <f aca="false">IF(AND(R10="Oportunidade",ISNUMBER(S10)),IF(S10&gt;=Parâmetros!$B$5,1,0),0)</f>
        <v>1</v>
      </c>
      <c r="U10" s="1" t="n">
        <f aca="false">IF(T10=1,SUM(T$6:T10),"")</f>
        <v>4</v>
      </c>
      <c r="V10" s="1" t="n">
        <f aca="false">IF(AND(R10="Ameaça",ISNUMBER(S10)),IF(S10&gt;=Parâmetros!$B$5,1,0),0)</f>
        <v>0</v>
      </c>
      <c r="W10" s="1" t="str">
        <f aca="false">IF(V10=1,SUM(V$6:V10),"")</f>
        <v/>
      </c>
    </row>
    <row r="11" customFormat="false" ht="30" hidden="false" customHeight="true" outlineLevel="0" collapsed="false">
      <c r="A11" s="15"/>
      <c r="B11" s="16" t="n">
        <f aca="false">IF(C11="","",4)</f>
        <v>4</v>
      </c>
      <c r="C11" s="17" t="str">
        <f aca="false">IFERROR(INDEX($K$6:$K$21,MATCH(4,$N$6:$N$21,0)),"")</f>
        <v>[Estrutura Econômica e Fiscal] EST-05 – Receitas próprias / receita corrente (%)</v>
      </c>
      <c r="D11" s="18" t="n">
        <f aca="false">IFERROR(INDEX($M$6:$M$21,MATCH(4,$N$6:$N$21,0)),"")</f>
        <v>21.61</v>
      </c>
      <c r="F11" s="19" t="str">
        <f aca="false">IF(G11="","",4)</f>
        <v/>
      </c>
      <c r="G11" s="20" t="str">
        <f aca="false">IFERROR(INDEX($K$6:$K$21,MATCH(4,$O$6:$O$21,0)),"")</f>
        <v/>
      </c>
      <c r="H11" s="21" t="str">
        <f aca="false">IFERROR(INDEX($M$6:$M$21,MATCH(4,$O$6:$O$21,0)),"")</f>
        <v/>
      </c>
      <c r="K11" s="1" t="str">
        <f aca="false">Aux!B11</f>
        <v>[Indústria] IND-01 – Quociente locacional do VAB industrial (base MT) (índice)</v>
      </c>
      <c r="L11" s="1" t="str">
        <f aca="false">'Indicadores (F-W)'!AK11</f>
        <v>Força</v>
      </c>
      <c r="M11" s="87" t="n">
        <f aca="false">IF('Indicadores (F-W)'!AJ11="","",'Indicadores (F-W)'!AJ11)</f>
        <v>1.8691</v>
      </c>
      <c r="N11" s="1" t="n">
        <f aca="false">IF(L11="Força",COUNTIF(L$6:L11,"Força"),"")</f>
        <v>1</v>
      </c>
      <c r="O11" s="1" t="str">
        <f aca="false">IF(L11="Fraqueza",COUNTIF(L$6:L11,"Fraqueza"),"")</f>
        <v/>
      </c>
      <c r="Q11" s="1" t="str">
        <f aca="false">Aux!I11</f>
        <v>[Estrutura Econômica e Fiscal] OP-06 – Instrumentos de fomento e financiamento (FCO, crédito rural, PSA, mercado de carbono)</v>
      </c>
      <c r="R11" s="1" t="str">
        <f aca="false">Aux!J11</f>
        <v>Oportunidade</v>
      </c>
      <c r="S11" s="1" t="n">
        <f aca="false">IF('Fatores Externos (O-A)'!Q11="","",'Fatores Externos (O-A)'!Q11)</f>
        <v>3</v>
      </c>
      <c r="T11" s="1" t="n">
        <f aca="false">IF(AND(R11="Oportunidade",ISNUMBER(S11)),IF(S11&gt;=Parâmetros!$B$5,1,0),0)</f>
        <v>1</v>
      </c>
      <c r="U11" s="1" t="n">
        <f aca="false">IF(T11=1,SUM(T$6:T11),"")</f>
        <v>5</v>
      </c>
      <c r="V11" s="1" t="n">
        <f aca="false">IF(AND(R11="Ameaça",ISNUMBER(S11)),IF(S11&gt;=Parâmetros!$B$5,1,0),0)</f>
        <v>0</v>
      </c>
      <c r="W11" s="1" t="str">
        <f aca="false">IF(V11=1,SUM(V$6:V11),"")</f>
        <v/>
      </c>
    </row>
    <row r="12" customFormat="false" ht="30" hidden="false" customHeight="true" outlineLevel="0" collapsed="false">
      <c r="A12" s="15"/>
      <c r="B12" s="16" t="str">
        <f aca="false">IF(C12="","",5)</f>
        <v/>
      </c>
      <c r="C12" s="17" t="str">
        <f aca="false">IFERROR(INDEX($K$6:$K$21,MATCH(5,$N$6:$N$21,0)),"")</f>
        <v/>
      </c>
      <c r="D12" s="18" t="str">
        <f aca="false">IFERROR(INDEX($M$6:$M$21,MATCH(5,$N$6:$N$21,0)),"")</f>
        <v/>
      </c>
      <c r="F12" s="19" t="str">
        <f aca="false">IF(G12="","",5)</f>
        <v/>
      </c>
      <c r="G12" s="20" t="str">
        <f aca="false">IFERROR(INDEX($K$6:$K$21,MATCH(5,$O$6:$O$21,0)),"")</f>
        <v/>
      </c>
      <c r="H12" s="21" t="str">
        <f aca="false">IFERROR(INDEX($M$6:$M$21,MATCH(5,$O$6:$O$21,0)),"")</f>
        <v/>
      </c>
      <c r="K12" s="1" t="str">
        <f aca="false">Aux!B12</f>
        <v>[Indústria] IND-02 – Variação do emprego formal na indústria em 5 anos (%)</v>
      </c>
      <c r="L12" s="1" t="str">
        <f aca="false">'Indicadores (F-W)'!AK12</f>
        <v>Fraqueza</v>
      </c>
      <c r="M12" s="88" t="n">
        <f aca="false">IF('Indicadores (F-W)'!AJ12="","",'Indicadores (F-W)'!AJ12)</f>
        <v>30.12</v>
      </c>
      <c r="N12" s="1" t="str">
        <f aca="false">IF(L12="Força",COUNTIF(L$6:L12,"Força"),"")</f>
        <v/>
      </c>
      <c r="O12" s="1" t="n">
        <f aca="false">IF(L12="Fraqueza",COUNTIF(L$6:L12,"Fraqueza"),"")</f>
        <v>3</v>
      </c>
      <c r="Q12" s="1" t="str">
        <f aca="false">Aux!I12</f>
        <v>[Agropecuária] AM-01 – Eventos climáticos extremos: secas prolongadas e incêndios no Pantanal</v>
      </c>
      <c r="R12" s="1" t="str">
        <f aca="false">Aux!J12</f>
        <v>Ameaça</v>
      </c>
      <c r="S12" s="1" t="n">
        <f aca="false">IF('Fatores Externos (O-A)'!Q12="","",'Fatores Externos (O-A)'!Q12)</f>
        <v>1</v>
      </c>
      <c r="T12" s="1" t="n">
        <f aca="false">IF(AND(R12="Oportunidade",ISNUMBER(S12)),IF(S12&gt;=Parâmetros!$B$5,1,0),0)</f>
        <v>0</v>
      </c>
      <c r="U12" s="1" t="str">
        <f aca="false">IF(T12=1,SUM(T$6:T12),"")</f>
        <v/>
      </c>
      <c r="V12" s="1" t="n">
        <f aca="false">IF(AND(R12="Ameaça",ISNUMBER(S12)),IF(S12&gt;=Parâmetros!$B$5,1,0),0)</f>
        <v>0</v>
      </c>
      <c r="W12" s="1" t="str">
        <f aca="false">IF(V12=1,SUM(V$6:V12),"")</f>
        <v/>
      </c>
    </row>
    <row r="13" customFormat="false" ht="30" hidden="false" customHeight="true" outlineLevel="0" collapsed="false">
      <c r="A13" s="15"/>
      <c r="B13" s="16" t="str">
        <f aca="false">IF(C13="","",6)</f>
        <v/>
      </c>
      <c r="C13" s="17" t="str">
        <f aca="false">IFERROR(INDEX($K$6:$K$21,MATCH(6,$N$6:$N$21,0)),"")</f>
        <v/>
      </c>
      <c r="D13" s="18" t="str">
        <f aca="false">IFERROR(INDEX($M$6:$M$21,MATCH(6,$N$6:$N$21,0)),"")</f>
        <v/>
      </c>
      <c r="F13" s="19" t="str">
        <f aca="false">IF(G13="","",6)</f>
        <v/>
      </c>
      <c r="G13" s="20" t="str">
        <f aca="false">IFERROR(INDEX($K$6:$K$21,MATCH(6,$O$6:$O$21,0)),"")</f>
        <v/>
      </c>
      <c r="H13" s="21" t="str">
        <f aca="false">IFERROR(INDEX($M$6:$M$21,MATCH(6,$O$6:$O$21,0)),"")</f>
        <v/>
      </c>
      <c r="K13" s="1" t="str">
        <f aca="false">Aux!B13</f>
        <v>[Indústria] IND-03 – Remuneração média do emprego formal industrial (R$)</v>
      </c>
      <c r="L13" s="1" t="str">
        <f aca="false">'Indicadores (F-W)'!AK13</f>
        <v>Neutro</v>
      </c>
      <c r="M13" s="88" t="n">
        <f aca="false">IF('Indicadores (F-W)'!AJ13="","",'Indicadores (F-W)'!AJ13)</f>
        <v>2903.68</v>
      </c>
      <c r="N13" s="1" t="str">
        <f aca="false">IF(L13="Força",COUNTIF(L$6:L13,"Força"),"")</f>
        <v/>
      </c>
      <c r="O13" s="1" t="str">
        <f aca="false">IF(L13="Fraqueza",COUNTIF(L$6:L13,"Fraqueza"),"")</f>
        <v/>
      </c>
      <c r="Q13" s="1" t="str">
        <f aca="false">Aux!I13</f>
        <v>[Agropecuária] AM-02 – Volatilidade de preços de commodities (boi gordo, soja, milho)</v>
      </c>
      <c r="R13" s="1" t="str">
        <f aca="false">Aux!J13</f>
        <v>Ameaça</v>
      </c>
      <c r="S13" s="1" t="n">
        <f aca="false">IF('Fatores Externos (O-A)'!Q13="","",'Fatores Externos (O-A)'!Q13)</f>
        <v>2</v>
      </c>
      <c r="T13" s="1" t="n">
        <f aca="false">IF(AND(R13="Oportunidade",ISNUMBER(S13)),IF(S13&gt;=Parâmetros!$B$5,1,0),0)</f>
        <v>0</v>
      </c>
      <c r="U13" s="1" t="str">
        <f aca="false">IF(T13=1,SUM(T$6:T13),"")</f>
        <v/>
      </c>
      <c r="V13" s="1" t="n">
        <f aca="false">IF(AND(R13="Ameaça",ISNUMBER(S13)),IF(S13&gt;=Parâmetros!$B$5,1,0),0)</f>
        <v>1</v>
      </c>
      <c r="W13" s="1" t="n">
        <f aca="false">IF(V13=1,SUM(V$6:V13),"")</f>
        <v>1</v>
      </c>
    </row>
    <row r="14" customFormat="false" ht="30" hidden="false" customHeight="true" outlineLevel="0" collapsed="false">
      <c r="A14" s="15"/>
      <c r="B14" s="16" t="str">
        <f aca="false">IF(C14="","",7)</f>
        <v/>
      </c>
      <c r="C14" s="17" t="str">
        <f aca="false">IFERROR(INDEX($K$6:$K$21,MATCH(7,$N$6:$N$21,0)),"")</f>
        <v/>
      </c>
      <c r="D14" s="18" t="str">
        <f aca="false">IFERROR(INDEX($M$6:$M$21,MATCH(7,$N$6:$N$21,0)),"")</f>
        <v/>
      </c>
      <c r="F14" s="19" t="str">
        <f aca="false">IF(G14="","",7)</f>
        <v/>
      </c>
      <c r="G14" s="20" t="str">
        <f aca="false">IFERROR(INDEX($K$6:$K$21,MATCH(7,$O$6:$O$21,0)),"")</f>
        <v/>
      </c>
      <c r="H14" s="21" t="str">
        <f aca="false">IFERROR(INDEX($M$6:$M$21,MATCH(7,$O$6:$O$21,0)),"")</f>
        <v/>
      </c>
      <c r="K14" s="1" t="str">
        <f aca="false">Aux!B14</f>
        <v>[Comércio e Serviços] CS-01 – Quociente locacional do VAB de serviços, exceto adm. pública (base MT) (índice)</v>
      </c>
      <c r="L14" s="1" t="str">
        <f aca="false">'Indicadores (F-W)'!AK14</f>
        <v>Força</v>
      </c>
      <c r="M14" s="87" t="n">
        <f aca="false">IF('Indicadores (F-W)'!AJ14="","",'Indicadores (F-W)'!AJ14)</f>
        <v>1.5988</v>
      </c>
      <c r="N14" s="1" t="n">
        <f aca="false">IF(L14="Força",COUNTIF(L$6:L14,"Força"),"")</f>
        <v>2</v>
      </c>
      <c r="O14" s="1" t="str">
        <f aca="false">IF(L14="Fraqueza",COUNTIF(L$6:L14,"Fraqueza"),"")</f>
        <v/>
      </c>
      <c r="Q14" s="1" t="str">
        <f aca="false">Aux!I14</f>
        <v>[Agropecuária] AM-03 – Exigências ambientais de mercados importadores e barreiras ligadas a desmatamento (ex.: EUDR)</v>
      </c>
      <c r="R14" s="1" t="str">
        <f aca="false">Aux!J14</f>
        <v>Ameaça</v>
      </c>
      <c r="S14" s="1" t="n">
        <f aca="false">IF('Fatores Externos (O-A)'!Q14="","",'Fatores Externos (O-A)'!Q14)</f>
        <v>3</v>
      </c>
      <c r="T14" s="1" t="n">
        <f aca="false">IF(AND(R14="Oportunidade",ISNUMBER(S14)),IF(S14&gt;=Parâmetros!$B$5,1,0),0)</f>
        <v>0</v>
      </c>
      <c r="U14" s="1" t="str">
        <f aca="false">IF(T14=1,SUM(T$6:T14),"")</f>
        <v/>
      </c>
      <c r="V14" s="1" t="n">
        <f aca="false">IF(AND(R14="Ameaça",ISNUMBER(S14)),IF(S14&gt;=Parâmetros!$B$5,1,0),0)</f>
        <v>1</v>
      </c>
      <c r="W14" s="1" t="n">
        <f aca="false">IF(V14=1,SUM(V$6:V14),"")</f>
        <v>2</v>
      </c>
    </row>
    <row r="15" customFormat="false" ht="30" hidden="false" customHeight="true" outlineLevel="0" collapsed="false">
      <c r="A15" s="15"/>
      <c r="B15" s="16" t="str">
        <f aca="false">IF(C15="","",8)</f>
        <v/>
      </c>
      <c r="C15" s="17" t="str">
        <f aca="false">IFERROR(INDEX($K$6:$K$21,MATCH(8,$N$6:$N$21,0)),"")</f>
        <v/>
      </c>
      <c r="D15" s="18" t="str">
        <f aca="false">IFERROR(INDEX($M$6:$M$21,MATCH(8,$N$6:$N$21,0)),"")</f>
        <v/>
      </c>
      <c r="F15" s="19" t="str">
        <f aca="false">IF(G15="","",8)</f>
        <v/>
      </c>
      <c r="G15" s="20" t="str">
        <f aca="false">IFERROR(INDEX($K$6:$K$21,MATCH(8,$O$6:$O$21,0)),"")</f>
        <v/>
      </c>
      <c r="H15" s="21" t="str">
        <f aca="false">IFERROR(INDEX($M$6:$M$21,MATCH(8,$O$6:$O$21,0)),"")</f>
        <v/>
      </c>
      <c r="K15" s="1" t="str">
        <f aca="false">Aux!B15</f>
        <v>[Comércio e Serviços] CS-02 – Variação do emprego formal em comércio e serviços em 5 anos (%)</v>
      </c>
      <c r="L15" s="1" t="str">
        <f aca="false">'Indicadores (F-W)'!AK15</f>
        <v>Neutro</v>
      </c>
      <c r="M15" s="88" t="n">
        <f aca="false">IF('Indicadores (F-W)'!AJ15="","",'Indicadores (F-W)'!AJ15)</f>
        <v>40.03</v>
      </c>
      <c r="N15" s="1" t="str">
        <f aca="false">IF(L15="Força",COUNTIF(L$6:L15,"Força"),"")</f>
        <v/>
      </c>
      <c r="O15" s="1" t="str">
        <f aca="false">IF(L15="Fraqueza",COUNTIF(L$6:L15,"Fraqueza"),"")</f>
        <v/>
      </c>
      <c r="Q15" s="1" t="str">
        <f aca="false">Aux!I15</f>
        <v>[Estrutura Econômica e Fiscal] AM-04 – Transição da Reforma Tributária (IBS/CBS) e efeitos sobre a repartição de receitas municipais</v>
      </c>
      <c r="R15" s="1" t="str">
        <f aca="false">Aux!J15</f>
        <v>Ameaça</v>
      </c>
      <c r="S15" s="1" t="n">
        <f aca="false">IF('Fatores Externos (O-A)'!Q15="","",'Fatores Externos (O-A)'!Q15)</f>
        <v>3</v>
      </c>
      <c r="T15" s="1" t="n">
        <f aca="false">IF(AND(R15="Oportunidade",ISNUMBER(S15)),IF(S15&gt;=Parâmetros!$B$5,1,0),0)</f>
        <v>0</v>
      </c>
      <c r="U15" s="1" t="str">
        <f aca="false">IF(T15=1,SUM(T$6:T15),"")</f>
        <v/>
      </c>
      <c r="V15" s="1" t="n">
        <f aca="false">IF(AND(R15="Ameaça",ISNUMBER(S15)),IF(S15&gt;=Parâmetros!$B$5,1,0),0)</f>
        <v>1</v>
      </c>
      <c r="W15" s="1" t="n">
        <f aca="false">IF(V15=1,SUM(V$6:V15),"")</f>
        <v>3</v>
      </c>
    </row>
    <row r="16" customFormat="false" ht="30" hidden="false" customHeight="true" outlineLevel="0" collapsed="false">
      <c r="A16" s="15"/>
      <c r="B16" s="16" t="str">
        <f aca="false">IF(C16="","",9)</f>
        <v/>
      </c>
      <c r="C16" s="17" t="str">
        <f aca="false">IFERROR(INDEX($K$6:$K$21,MATCH(9,$N$6:$N$21,0)),"")</f>
        <v/>
      </c>
      <c r="D16" s="18" t="str">
        <f aca="false">IFERROR(INDEX($M$6:$M$21,MATCH(9,$N$6:$N$21,0)),"")</f>
        <v/>
      </c>
      <c r="F16" s="19" t="str">
        <f aca="false">IF(G16="","",9)</f>
        <v/>
      </c>
      <c r="G16" s="20" t="str">
        <f aca="false">IFERROR(INDEX($K$6:$K$21,MATCH(9,$O$6:$O$21,0)),"")</f>
        <v/>
      </c>
      <c r="H16" s="21" t="str">
        <f aca="false">IFERROR(INDEX($M$6:$M$21,MATCH(9,$O$6:$O$21,0)),"")</f>
        <v/>
      </c>
      <c r="K16" s="1" t="str">
        <f aca="false">Aux!B16</f>
        <v>[Comércio e Serviços] CS-03 – Empresas e outras organizações ativas por mil habitantes (un./mil hab.)</v>
      </c>
      <c r="L16" s="1" t="str">
        <f aca="false">'Indicadores (F-W)'!AK16</f>
        <v>Força</v>
      </c>
      <c r="M16" s="88" t="n">
        <f aca="false">IF('Indicadores (F-W)'!AJ16="","",'Indicadores (F-W)'!AJ16)</f>
        <v>36.86</v>
      </c>
      <c r="N16" s="1" t="n">
        <f aca="false">IF(L16="Força",COUNTIF(L$6:L16,"Força"),"")</f>
        <v>3</v>
      </c>
      <c r="O16" s="1" t="str">
        <f aca="false">IF(L16="Fraqueza",COUNTIF(L$6:L16,"Fraqueza"),"")</f>
        <v/>
      </c>
      <c r="Q16" s="1" t="str">
        <f aca="false">Aux!I16</f>
        <v>[Comércio e Serviços] AM-05 – Polarização regional por centros maiores (evasão de consumo, serviços e mão de obra)</v>
      </c>
      <c r="R16" s="1" t="str">
        <f aca="false">Aux!J16</f>
        <v>Ameaça</v>
      </c>
      <c r="S16" s="1" t="n">
        <f aca="false">IF('Fatores Externos (O-A)'!Q16="","",'Fatores Externos (O-A)'!Q16)</f>
        <v>0</v>
      </c>
      <c r="T16" s="1" t="n">
        <f aca="false">IF(AND(R16="Oportunidade",ISNUMBER(S16)),IF(S16&gt;=Parâmetros!$B$5,1,0),0)</f>
        <v>0</v>
      </c>
      <c r="U16" s="1" t="str">
        <f aca="false">IF(T16=1,SUM(T$6:T16),"")</f>
        <v/>
      </c>
      <c r="V16" s="1" t="n">
        <f aca="false">IF(AND(R16="Ameaça",ISNUMBER(S16)),IF(S16&gt;=Parâmetros!$B$5,1,0),0)</f>
        <v>0</v>
      </c>
      <c r="W16" s="1" t="str">
        <f aca="false">IF(V16=1,SUM(V$6:V16),"")</f>
        <v/>
      </c>
    </row>
    <row r="17" customFormat="false" ht="30" hidden="false" customHeight="true" outlineLevel="0" collapsed="false">
      <c r="A17" s="15"/>
      <c r="B17" s="16" t="str">
        <f aca="false">IF(C17="","",10)</f>
        <v/>
      </c>
      <c r="C17" s="17" t="str">
        <f aca="false">IFERROR(INDEX($K$6:$K$21,MATCH(10,$N$6:$N$21,0)),"")</f>
        <v/>
      </c>
      <c r="D17" s="18" t="str">
        <f aca="false">IFERROR(INDEX($M$6:$M$21,MATCH(10,$N$6:$N$21,0)),"")</f>
        <v/>
      </c>
      <c r="F17" s="19" t="str">
        <f aca="false">IF(G17="","",10)</f>
        <v/>
      </c>
      <c r="G17" s="20" t="str">
        <f aca="false">IFERROR(INDEX($K$6:$K$21,MATCH(10,$O$6:$O$21,0)),"")</f>
        <v/>
      </c>
      <c r="H17" s="21" t="str">
        <f aca="false">IFERROR(INDEX($M$6:$M$21,MATCH(10,$O$6:$O$21,0)),"")</f>
        <v/>
      </c>
      <c r="K17" s="1" t="str">
        <f aca="false">Aux!B17</f>
        <v>[Estrutura Econômica e Fiscal] EST-01 – PIB per capita (R$)</v>
      </c>
      <c r="L17" s="1" t="str">
        <f aca="false">'Indicadores (F-W)'!AK17</f>
        <v>Neutro</v>
      </c>
      <c r="M17" s="89" t="n">
        <f aca="false">IF('Indicadores (F-W)'!AJ17="","",'Indicadores (F-W)'!AJ17)</f>
        <v>67650.09</v>
      </c>
      <c r="N17" s="1" t="str">
        <f aca="false">IF(L17="Força",COUNTIF(L$6:L17,"Força"),"")</f>
        <v/>
      </c>
      <c r="O17" s="1" t="str">
        <f aca="false">IF(L17="Fraqueza",COUNTIF(L$6:L17,"Fraqueza"),"")</f>
        <v/>
      </c>
    </row>
    <row r="18" customFormat="false" ht="30" hidden="false" customHeight="true" outlineLevel="0" collapsed="false">
      <c r="A18" s="15"/>
      <c r="B18" s="16" t="str">
        <f aca="false">IF(C18="","",11)</f>
        <v/>
      </c>
      <c r="C18" s="17" t="str">
        <f aca="false">IFERROR(INDEX($K$6:$K$21,MATCH(11,$N$6:$N$21,0)),"")</f>
        <v/>
      </c>
      <c r="D18" s="18" t="str">
        <f aca="false">IFERROR(INDEX($M$6:$M$21,MATCH(11,$N$6:$N$21,0)),"")</f>
        <v/>
      </c>
      <c r="F18" s="19" t="str">
        <f aca="false">IF(G18="","",11)</f>
        <v/>
      </c>
      <c r="G18" s="20" t="str">
        <f aca="false">IFERROR(INDEX($K$6:$K$21,MATCH(11,$O$6:$O$21,0)),"")</f>
        <v/>
      </c>
      <c r="H18" s="21" t="str">
        <f aca="false">IFERROR(INDEX($M$6:$M$21,MATCH(11,$O$6:$O$21,0)),"")</f>
        <v/>
      </c>
      <c r="K18" s="1" t="str">
        <f aca="false">Aux!B18</f>
        <v>[Estrutura Econômica e Fiscal] EST-02 – Participação da administração pública no VAB total (%)</v>
      </c>
      <c r="L18" s="1" t="str">
        <f aca="false">'Indicadores (F-W)'!AK18</f>
        <v>Neutro</v>
      </c>
      <c r="M18" s="90" t="n">
        <f aca="false">IF('Indicadores (F-W)'!AJ18="","",'Indicadores (F-W)'!AJ18)</f>
        <v>11.66</v>
      </c>
      <c r="N18" s="1" t="str">
        <f aca="false">IF(L18="Força",COUNTIF(L$6:L18,"Força"),"")</f>
        <v/>
      </c>
      <c r="O18" s="1" t="str">
        <f aca="false">IF(L18="Fraqueza",COUNTIF(L$6:L18,"Fraqueza"),"")</f>
        <v/>
      </c>
    </row>
    <row r="19" customFormat="false" ht="30" hidden="false" customHeight="true" outlineLevel="0" collapsed="false">
      <c r="A19" s="15"/>
      <c r="B19" s="16" t="str">
        <f aca="false">IF(C19="","",12)</f>
        <v/>
      </c>
      <c r="C19" s="17" t="str">
        <f aca="false">IFERROR(INDEX($K$6:$K$21,MATCH(12,$N$6:$N$21,0)),"")</f>
        <v/>
      </c>
      <c r="D19" s="18" t="str">
        <f aca="false">IFERROR(INDEX($M$6:$M$21,MATCH(12,$N$6:$N$21,0)),"")</f>
        <v/>
      </c>
      <c r="F19" s="19" t="str">
        <f aca="false">IF(G19="","",12)</f>
        <v/>
      </c>
      <c r="G19" s="20" t="str">
        <f aca="false">IFERROR(INDEX($K$6:$K$21,MATCH(12,$O$6:$O$21,0)),"")</f>
        <v/>
      </c>
      <c r="H19" s="21" t="str">
        <f aca="false">IFERROR(INDEX($M$6:$M$21,MATCH(12,$O$6:$O$21,0)),"")</f>
        <v/>
      </c>
      <c r="K19" s="1" t="str">
        <f aca="false">Aux!B19</f>
        <v>[Estrutura Econômica e Fiscal] EST-03 – Vínculos formais por 100 habitantes (vínculos/100 hab.)</v>
      </c>
      <c r="L19" s="1" t="str">
        <f aca="false">'Indicadores (F-W)'!AK19</f>
        <v>Neutro</v>
      </c>
      <c r="M19" s="88" t="n">
        <f aca="false">IF('Indicadores (F-W)'!AJ19="","",'Indicadores (F-W)'!AJ19)</f>
        <v>32.01</v>
      </c>
      <c r="N19" s="1" t="str">
        <f aca="false">IF(L19="Força",COUNTIF(L$6:L19,"Força"),"")</f>
        <v/>
      </c>
      <c r="O19" s="1" t="str">
        <f aca="false">IF(L19="Fraqueza",COUNTIF(L$6:L19,"Fraqueza"),"")</f>
        <v/>
      </c>
    </row>
    <row r="20" customFormat="false" ht="15" hidden="false" customHeight="true" outlineLevel="0" collapsed="false">
      <c r="C20" s="22" t="str">
        <f aca="false">IF(COUNTIF($L$6:$L$21,"Força")&gt;12,"+ "&amp;(COUNTIF($L$6:$L$21,"Força")-12)&amp;" item(ns) não exibido(s)","")</f>
        <v/>
      </c>
      <c r="G20" s="22" t="str">
        <f aca="false">IF(COUNTIF($L$6:$L$21,"Fraqueza")&gt;12,"+ "&amp;(COUNTIF($L$6:$L$21,"Fraqueza")-12)&amp;" item(ns) não exibido(s)","")</f>
        <v/>
      </c>
      <c r="K20" s="1" t="str">
        <f aca="false">Aux!B20</f>
        <v>[Estrutura Econômica e Fiscal] EST-04 – Concentração setorial do emprego formal (HHI por seção CNAE) (índice 0–1)</v>
      </c>
      <c r="L20" s="1" t="str">
        <f aca="false">'Indicadores (F-W)'!AK20</f>
        <v>Neutro</v>
      </c>
      <c r="M20" s="93" t="n">
        <f aca="false">IF('Indicadores (F-W)'!AJ20="","",'Indicadores (F-W)'!AJ20)</f>
        <v>0.1166</v>
      </c>
      <c r="N20" s="1" t="str">
        <f aca="false">IF(L20="Força",COUNTIF(L$6:L20,"Força"),"")</f>
        <v/>
      </c>
      <c r="O20" s="1" t="str">
        <f aca="false">IF(L20="Fraqueza",COUNTIF(L$6:L20,"Fraqueza"),"")</f>
        <v/>
      </c>
    </row>
    <row r="21" customFormat="false" ht="15" hidden="false" customHeight="true" outlineLevel="0" collapsed="false">
      <c r="K21" s="1" t="str">
        <f aca="false">Aux!B21</f>
        <v>[Estrutura Econômica e Fiscal] EST-05 – Receitas próprias / receita corrente (%)</v>
      </c>
      <c r="L21" s="1" t="str">
        <f aca="false">'Indicadores (F-W)'!AK21</f>
        <v>Força</v>
      </c>
      <c r="M21" s="88" t="n">
        <f aca="false">IF('Indicadores (F-W)'!AJ21="","",'Indicadores (F-W)'!AJ21)</f>
        <v>21.61</v>
      </c>
      <c r="N21" s="1" t="n">
        <f aca="false">IF(L21="Força",COUNTIF(L$6:L21,"Força"),"")</f>
        <v>4</v>
      </c>
      <c r="O21" s="1" t="str">
        <f aca="false">IF(L21="Fraqueza",COUNTIF(L$6:L21,"Fraqueza"),"")</f>
        <v/>
      </c>
    </row>
    <row r="22" customFormat="false" ht="15" hidden="false" customHeight="true" outlineLevel="0" collapsed="false">
      <c r="B22" s="23" t="str">
        <f aca="false">"OPORTUNIDADES (O) — "&amp;SUM($T$6:$T$16)&amp;" item(ns)"</f>
        <v>OPORTUNIDADES (O) — 5 item(ns)</v>
      </c>
      <c r="C22" s="23"/>
      <c r="D22" s="23"/>
      <c r="F22" s="24" t="str">
        <f aca="false">"AMEAÇAS (T) — "&amp;SUM($V$6:$V$16)&amp;" item(ns)"</f>
        <v>AMEAÇAS (T) — 3 item(ns)</v>
      </c>
      <c r="G22" s="24"/>
      <c r="H22" s="24"/>
    </row>
    <row r="23" customFormat="false" ht="15" hidden="false" customHeight="true" outlineLevel="0" collapsed="false">
      <c r="B23" s="25" t="s">
        <v>29</v>
      </c>
      <c r="C23" s="25" t="s">
        <v>30</v>
      </c>
      <c r="D23" s="25" t="s">
        <v>33</v>
      </c>
      <c r="F23" s="26" t="s">
        <v>29</v>
      </c>
      <c r="G23" s="26" t="s">
        <v>30</v>
      </c>
      <c r="H23" s="26" t="s">
        <v>33</v>
      </c>
    </row>
    <row r="24" customFormat="false" ht="30" hidden="false" customHeight="true" outlineLevel="0" collapsed="false">
      <c r="A24" s="15" t="s">
        <v>34</v>
      </c>
      <c r="B24" s="27" t="n">
        <f aca="false">IF(C24="","",1)</f>
        <v>1</v>
      </c>
      <c r="C24" s="28" t="str">
        <f aca="false">IFERROR(INDEX($Q$6:$Q$16,MATCH(1,$U$6:$U$16,0)),"")</f>
        <v>[Agropecuária] OP-01 – Demanda externa por carne bovina e proteína animal</v>
      </c>
      <c r="D24" s="29" t="n">
        <f aca="false">IFERROR(INDEX($S$6:$S$16,MATCH(1,$U$6:$U$16,0)),"")</f>
        <v>2</v>
      </c>
      <c r="F24" s="30" t="n">
        <f aca="false">IF(G24="","",1)</f>
        <v>1</v>
      </c>
      <c r="G24" s="31" t="str">
        <f aca="false">IFERROR(INDEX($Q$6:$Q$16,MATCH(1,$W$6:$W$16,0)),"")</f>
        <v>[Agropecuária] AM-02 – Volatilidade de preços de commodities (boi gordo, soja, milho)</v>
      </c>
      <c r="H24" s="32" t="n">
        <f aca="false">IFERROR(INDEX($S$6:$S$16,MATCH(1,$W$6:$W$16,0)),"")</f>
        <v>2</v>
      </c>
    </row>
    <row r="25" customFormat="false" ht="30" hidden="false" customHeight="true" outlineLevel="0" collapsed="false">
      <c r="A25" s="15"/>
      <c r="B25" s="27" t="n">
        <f aca="false">IF(C25="","",2)</f>
        <v>2</v>
      </c>
      <c r="C25" s="28" t="str">
        <f aca="false">IFERROR(INDEX($Q$6:$Q$16,MATCH(2,$U$6:$U$16,0)),"")</f>
        <v>[Comércio e Serviços] OP-03 – Expansão do turismo de natureza, pesca esportiva e ecoturismo</v>
      </c>
      <c r="D25" s="29" t="n">
        <f aca="false">IFERROR(INDEX($S$6:$S$16,MATCH(2,$U$6:$U$16,0)),"")</f>
        <v>2</v>
      </c>
      <c r="F25" s="30" t="n">
        <f aca="false">IF(G25="","",2)</f>
        <v>2</v>
      </c>
      <c r="G25" s="31" t="str">
        <f aca="false">IFERROR(INDEX($Q$6:$Q$16,MATCH(2,$W$6:$W$16,0)),"")</f>
        <v>[Agropecuária] AM-03 – Exigências ambientais de mercados importadores e barreiras ligadas a desmatamento (ex.: EUDR)</v>
      </c>
      <c r="H25" s="32" t="n">
        <f aca="false">IFERROR(INDEX($S$6:$S$16,MATCH(2,$W$6:$W$16,0)),"")</f>
        <v>3</v>
      </c>
    </row>
    <row r="26" customFormat="false" ht="30" hidden="false" customHeight="true" outlineLevel="0" collapsed="false">
      <c r="A26" s="15"/>
      <c r="B26" s="27" t="n">
        <f aca="false">IF(C26="","",3)</f>
        <v>3</v>
      </c>
      <c r="C26" s="28" t="str">
        <f aca="false">IFERROR(INDEX($Q$6:$Q$16,MATCH(3,$U$6:$U$16,0)),"")</f>
        <v>[Indústria] OP-04 – Agroindustrialização e verticalização (frigoríficos, laticínios, sucroenergético)</v>
      </c>
      <c r="D26" s="29" t="n">
        <f aca="false">IFERROR(INDEX($S$6:$S$16,MATCH(3,$U$6:$U$16,0)),"")</f>
        <v>3</v>
      </c>
      <c r="F26" s="30" t="n">
        <f aca="false">IF(G26="","",3)</f>
        <v>3</v>
      </c>
      <c r="G26" s="31" t="str">
        <f aca="false">IFERROR(INDEX($Q$6:$Q$16,MATCH(3,$W$6:$W$16,0)),"")</f>
        <v>[Estrutura Econômica e Fiscal] AM-04 – Transição da Reforma Tributária (IBS/CBS) e efeitos sobre a repartição de receitas municipais</v>
      </c>
      <c r="H26" s="32" t="n">
        <f aca="false">IFERROR(INDEX($S$6:$S$16,MATCH(3,$W$6:$W$16,0)),"")</f>
        <v>3</v>
      </c>
    </row>
    <row r="27" customFormat="false" ht="30" hidden="false" customHeight="true" outlineLevel="0" collapsed="false">
      <c r="A27" s="15"/>
      <c r="B27" s="27" t="n">
        <f aca="false">IF(C27="","",4)</f>
        <v>4</v>
      </c>
      <c r="C27" s="28" t="str">
        <f aca="false">IFERROR(INDEX($Q$6:$Q$16,MATCH(4,$U$6:$U$16,0)),"")</f>
        <v>[Estrutura Econômica e Fiscal] OP-05 – Corredores logísticos (rodovias federais, ferrovia, hidrovia do Paraguai)</v>
      </c>
      <c r="D27" s="29" t="n">
        <f aca="false">IFERROR(INDEX($S$6:$S$16,MATCH(4,$U$6:$U$16,0)),"")</f>
        <v>3</v>
      </c>
      <c r="F27" s="30" t="str">
        <f aca="false">IF(G27="","",4)</f>
        <v/>
      </c>
      <c r="G27" s="31" t="str">
        <f aca="false">IFERROR(INDEX($Q$6:$Q$16,MATCH(4,$W$6:$W$16,0)),"")</f>
        <v/>
      </c>
      <c r="H27" s="32" t="str">
        <f aca="false">IFERROR(INDEX($S$6:$S$16,MATCH(4,$W$6:$W$16,0)),"")</f>
        <v/>
      </c>
    </row>
    <row r="28" customFormat="false" ht="30" hidden="false" customHeight="true" outlineLevel="0" collapsed="false">
      <c r="A28" s="15"/>
      <c r="B28" s="27" t="n">
        <f aca="false">IF(C28="","",5)</f>
        <v>5</v>
      </c>
      <c r="C28" s="28" t="str">
        <f aca="false">IFERROR(INDEX($Q$6:$Q$16,MATCH(5,$U$6:$U$16,0)),"")</f>
        <v>[Estrutura Econômica e Fiscal] OP-06 – Instrumentos de fomento e financiamento (FCO, crédito rural, PSA, mercado de carbono)</v>
      </c>
      <c r="D28" s="29" t="n">
        <f aca="false">IFERROR(INDEX($S$6:$S$16,MATCH(5,$U$6:$U$16,0)),"")</f>
        <v>3</v>
      </c>
      <c r="F28" s="30" t="str">
        <f aca="false">IF(G28="","",5)</f>
        <v/>
      </c>
      <c r="G28" s="31" t="str">
        <f aca="false">IFERROR(INDEX($Q$6:$Q$16,MATCH(5,$W$6:$W$16,0)),"")</f>
        <v/>
      </c>
      <c r="H28" s="32" t="str">
        <f aca="false">IFERROR(INDEX($S$6:$S$16,MATCH(5,$W$6:$W$16,0)),"")</f>
        <v/>
      </c>
    </row>
    <row r="29" customFormat="false" ht="30" hidden="false" customHeight="true" outlineLevel="0" collapsed="false">
      <c r="A29" s="15"/>
      <c r="B29" s="27" t="str">
        <f aca="false">IF(C29="","",6)</f>
        <v/>
      </c>
      <c r="C29" s="28" t="str">
        <f aca="false">IFERROR(INDEX($Q$6:$Q$16,MATCH(6,$U$6:$U$16,0)),"")</f>
        <v/>
      </c>
      <c r="D29" s="29" t="str">
        <f aca="false">IFERROR(INDEX($S$6:$S$16,MATCH(6,$U$6:$U$16,0)),"")</f>
        <v/>
      </c>
      <c r="F29" s="30" t="str">
        <f aca="false">IF(G29="","",6)</f>
        <v/>
      </c>
      <c r="G29" s="31" t="str">
        <f aca="false">IFERROR(INDEX($Q$6:$Q$16,MATCH(6,$W$6:$W$16,0)),"")</f>
        <v/>
      </c>
      <c r="H29" s="32" t="str">
        <f aca="false">IFERROR(INDEX($S$6:$S$16,MATCH(6,$W$6:$W$16,0)),"")</f>
        <v/>
      </c>
    </row>
    <row r="30" customFormat="false" ht="30" hidden="false" customHeight="true" outlineLevel="0" collapsed="false">
      <c r="A30" s="15"/>
      <c r="B30" s="27" t="str">
        <f aca="false">IF(C30="","",7)</f>
        <v/>
      </c>
      <c r="C30" s="28" t="str">
        <f aca="false">IFERROR(INDEX($Q$6:$Q$16,MATCH(7,$U$6:$U$16,0)),"")</f>
        <v/>
      </c>
      <c r="D30" s="29" t="str">
        <f aca="false">IFERROR(INDEX($S$6:$S$16,MATCH(7,$U$6:$U$16,0)),"")</f>
        <v/>
      </c>
      <c r="F30" s="30" t="str">
        <f aca="false">IF(G30="","",7)</f>
        <v/>
      </c>
      <c r="G30" s="31" t="str">
        <f aca="false">IFERROR(INDEX($Q$6:$Q$16,MATCH(7,$W$6:$W$16,0)),"")</f>
        <v/>
      </c>
      <c r="H30" s="32" t="str">
        <f aca="false">IFERROR(INDEX($S$6:$S$16,MATCH(7,$W$6:$W$16,0)),"")</f>
        <v/>
      </c>
    </row>
    <row r="31" customFormat="false" ht="30" hidden="false" customHeight="true" outlineLevel="0" collapsed="false">
      <c r="A31" s="15"/>
      <c r="B31" s="27" t="str">
        <f aca="false">IF(C31="","",8)</f>
        <v/>
      </c>
      <c r="C31" s="28" t="str">
        <f aca="false">IFERROR(INDEX($Q$6:$Q$16,MATCH(8,$U$6:$U$16,0)),"")</f>
        <v/>
      </c>
      <c r="D31" s="29" t="str">
        <f aca="false">IFERROR(INDEX($S$6:$S$16,MATCH(8,$U$6:$U$16,0)),"")</f>
        <v/>
      </c>
      <c r="F31" s="30" t="str">
        <f aca="false">IF(G31="","",8)</f>
        <v/>
      </c>
      <c r="G31" s="31" t="str">
        <f aca="false">IFERROR(INDEX($Q$6:$Q$16,MATCH(8,$W$6:$W$16,0)),"")</f>
        <v/>
      </c>
      <c r="H31" s="32" t="str">
        <f aca="false">IFERROR(INDEX($S$6:$S$16,MATCH(8,$W$6:$W$16,0)),"")</f>
        <v/>
      </c>
    </row>
    <row r="32" customFormat="false" ht="30" hidden="false" customHeight="true" outlineLevel="0" collapsed="false">
      <c r="A32" s="15"/>
      <c r="B32" s="27" t="str">
        <f aca="false">IF(C32="","",9)</f>
        <v/>
      </c>
      <c r="C32" s="28" t="str">
        <f aca="false">IFERROR(INDEX($Q$6:$Q$16,MATCH(9,$U$6:$U$16,0)),"")</f>
        <v/>
      </c>
      <c r="D32" s="29" t="str">
        <f aca="false">IFERROR(INDEX($S$6:$S$16,MATCH(9,$U$6:$U$16,0)),"")</f>
        <v/>
      </c>
      <c r="F32" s="30" t="str">
        <f aca="false">IF(G32="","",9)</f>
        <v/>
      </c>
      <c r="G32" s="31" t="str">
        <f aca="false">IFERROR(INDEX($Q$6:$Q$16,MATCH(9,$W$6:$W$16,0)),"")</f>
        <v/>
      </c>
      <c r="H32" s="32" t="str">
        <f aca="false">IFERROR(INDEX($S$6:$S$16,MATCH(9,$W$6:$W$16,0)),"")</f>
        <v/>
      </c>
    </row>
    <row r="33" customFormat="false" ht="30" hidden="false" customHeight="true" outlineLevel="0" collapsed="false">
      <c r="A33" s="15"/>
      <c r="B33" s="27" t="str">
        <f aca="false">IF(C33="","",10)</f>
        <v/>
      </c>
      <c r="C33" s="28" t="str">
        <f aca="false">IFERROR(INDEX($Q$6:$Q$16,MATCH(10,$U$6:$U$16,0)),"")</f>
        <v/>
      </c>
      <c r="D33" s="29" t="str">
        <f aca="false">IFERROR(INDEX($S$6:$S$16,MATCH(10,$U$6:$U$16,0)),"")</f>
        <v/>
      </c>
      <c r="F33" s="30" t="str">
        <f aca="false">IF(G33="","",10)</f>
        <v/>
      </c>
      <c r="G33" s="31" t="str">
        <f aca="false">IFERROR(INDEX($Q$6:$Q$16,MATCH(10,$W$6:$W$16,0)),"")</f>
        <v/>
      </c>
      <c r="H33" s="32" t="str">
        <f aca="false">IFERROR(INDEX($S$6:$S$16,MATCH(10,$W$6:$W$16,0)),"")</f>
        <v/>
      </c>
    </row>
    <row r="34" customFormat="false" ht="30" hidden="false" customHeight="true" outlineLevel="0" collapsed="false">
      <c r="A34" s="15"/>
      <c r="B34" s="27" t="str">
        <f aca="false">IF(C34="","",11)</f>
        <v/>
      </c>
      <c r="C34" s="28" t="str">
        <f aca="false">IFERROR(INDEX($Q$6:$Q$16,MATCH(11,$U$6:$U$16,0)),"")</f>
        <v/>
      </c>
      <c r="D34" s="29" t="str">
        <f aca="false">IFERROR(INDEX($S$6:$S$16,MATCH(11,$U$6:$U$16,0)),"")</f>
        <v/>
      </c>
      <c r="F34" s="30" t="str">
        <f aca="false">IF(G34="","",11)</f>
        <v/>
      </c>
      <c r="G34" s="31" t="str">
        <f aca="false">IFERROR(INDEX($Q$6:$Q$16,MATCH(11,$W$6:$W$16,0)),"")</f>
        <v/>
      </c>
      <c r="H34" s="32" t="str">
        <f aca="false">IFERROR(INDEX($S$6:$S$16,MATCH(11,$W$6:$W$16,0)),"")</f>
        <v/>
      </c>
    </row>
    <row r="35" customFormat="false" ht="30" hidden="false" customHeight="true" outlineLevel="0" collapsed="false">
      <c r="A35" s="15"/>
      <c r="B35" s="27" t="str">
        <f aca="false">IF(C35="","",12)</f>
        <v/>
      </c>
      <c r="C35" s="28" t="str">
        <f aca="false">IFERROR(INDEX($Q$6:$Q$16,MATCH(12,$U$6:$U$16,0)),"")</f>
        <v/>
      </c>
      <c r="D35" s="29" t="str">
        <f aca="false">IFERROR(INDEX($S$6:$S$16,MATCH(12,$U$6:$U$16,0)),"")</f>
        <v/>
      </c>
      <c r="F35" s="30" t="str">
        <f aca="false">IF(G35="","",12)</f>
        <v/>
      </c>
      <c r="G35" s="31" t="str">
        <f aca="false">IFERROR(INDEX($Q$6:$Q$16,MATCH(12,$W$6:$W$16,0)),"")</f>
        <v/>
      </c>
      <c r="H35" s="32" t="str">
        <f aca="false">IFERROR(INDEX($S$6:$S$16,MATCH(12,$W$6:$W$16,0)),"")</f>
        <v/>
      </c>
    </row>
    <row r="36" customFormat="false" ht="15" hidden="false" customHeight="true" outlineLevel="0" collapsed="false">
      <c r="C36" s="22" t="str">
        <f aca="false">IF(SUM($T$6:$T$16)&gt;12,"+ "&amp;(SUM($T$6:$T$16)-12)&amp;" item(ns) não exibido(s)","")</f>
        <v/>
      </c>
      <c r="G36" s="22" t="str">
        <f aca="false">IF(SUM($V$6:$V$16)&gt;12,"+ "&amp;(SUM($V$6:$V$16)-12)&amp;" item(ns) não exibido(s)","")</f>
        <v/>
      </c>
    </row>
    <row r="38" customFormat="false" ht="15" hidden="false" customHeight="true" outlineLevel="0" collapsed="false">
      <c r="B38" s="33" t="s">
        <v>329</v>
      </c>
    </row>
  </sheetData>
  <mergeCells count="8">
    <mergeCell ref="B5:D5"/>
    <mergeCell ref="F5:H5"/>
    <mergeCell ref="B6:D6"/>
    <mergeCell ref="F6:H6"/>
    <mergeCell ref="A8:A19"/>
    <mergeCell ref="B22:D22"/>
    <mergeCell ref="F22:H22"/>
    <mergeCell ref="A24:A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W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"/>
    <col collapsed="false" customWidth="true" hidden="false" outlineLevel="0" max="3" min="3" style="1" width="55"/>
    <col collapsed="false" customWidth="true" hidden="false" outlineLevel="0" max="4" min="4" style="1" width="12"/>
    <col collapsed="false" customWidth="true" hidden="false" outlineLevel="0" max="5" min="5" style="1" width="2"/>
    <col collapsed="false" customWidth="true" hidden="false" outlineLevel="0" max="6" min="6" style="1" width="5"/>
    <col collapsed="false" customWidth="true" hidden="false" outlineLevel="0" max="7" min="7" style="1" width="55"/>
    <col collapsed="false" customWidth="true" hidden="false" outlineLevel="0" max="8" min="8" style="1" width="12"/>
    <col collapsed="false" customWidth="true" hidden="true" outlineLevel="0" max="23" min="11" style="1" width="13"/>
  </cols>
  <sheetData>
    <row r="1" customFormat="false" ht="17.25" hidden="false" customHeight="true" outlineLevel="0" collapsed="false">
      <c r="B1" s="91" t="s">
        <v>341</v>
      </c>
    </row>
    <row r="2" customFormat="false" ht="15" hidden="false" customHeight="true" outlineLevel="0" collapsed="false">
      <c r="B2" s="9" t="s">
        <v>328</v>
      </c>
    </row>
    <row r="3" customFormat="false" ht="15" hidden="false" customHeight="true" outlineLevel="0" collapsed="false">
      <c r="B3" s="92" t="str">
        <f aca="false">"Indicadores internos com dado: "&amp;(COUNTA(L6:L21)-COUNTBLANK(L6:L21))&amp;" de 16  |  Neutros: "&amp;COUNTIF(L6:L21,"Neutro")&amp;"  |  Fatores externos pontuados: "&amp;COUNT(S6:S16)&amp;" de 11"</f>
        <v>Indicadores internos com dado: 14 de 16  |  Neutros: 1  |  Fatores externos pontuados: 11 de 11</v>
      </c>
    </row>
    <row r="5" customFormat="false" ht="15" hidden="false" customHeight="true" outlineLevel="0" collapsed="false">
      <c r="B5" s="10" t="s">
        <v>27</v>
      </c>
      <c r="C5" s="10"/>
      <c r="D5" s="10"/>
      <c r="F5" s="10" t="s">
        <v>28</v>
      </c>
      <c r="G5" s="10"/>
      <c r="H5" s="10"/>
    </row>
    <row r="6" customFormat="false" ht="15" hidden="false" customHeight="true" outlineLevel="0" collapsed="false">
      <c r="B6" s="11" t="str">
        <f aca="false">"FORÇAS (S) — "&amp;COUNTIF($L$6:$L$21,"Força")&amp;" item(ns)"</f>
        <v>FORÇAS (S) — 2 item(ns)</v>
      </c>
      <c r="C6" s="11"/>
      <c r="D6" s="11"/>
      <c r="F6" s="12" t="str">
        <f aca="false">"FRAQUEZAS (W) — "&amp;COUNTIF($L$6:$L$21,"Fraqueza")&amp;" item(ns)"</f>
        <v>FRAQUEZAS (W) — 11 item(ns)</v>
      </c>
      <c r="G6" s="12"/>
      <c r="H6" s="12"/>
      <c r="K6" s="1" t="str">
        <f aca="false">Aux!B6</f>
        <v>[Agropecuária] AGR-01 – Quociente locacional do VAB agropecuário (base MT) (índice)</v>
      </c>
      <c r="L6" s="1" t="str">
        <f aca="false">'Indicadores (F-W)'!AM6</f>
        <v>Força</v>
      </c>
      <c r="M6" s="87" t="n">
        <f aca="false">IF('Indicadores (F-W)'!AL6="","",'Indicadores (F-W)'!AL6)</f>
        <v>1.714</v>
      </c>
      <c r="N6" s="1" t="n">
        <f aca="false">IF(L6="Força",COUNTIF(L$6:L6,"Força"),"")</f>
        <v>1</v>
      </c>
      <c r="O6" s="1" t="str">
        <f aca="false">IF(L6="Fraqueza",COUNTIF(L$6:L6,"Fraqueza"),"")</f>
        <v/>
      </c>
      <c r="Q6" s="1" t="str">
        <f aca="false">Aux!I6</f>
        <v>[Agropecuária] OP-01 – Demanda externa por carne bovina e proteína animal</v>
      </c>
      <c r="R6" s="1" t="str">
        <f aca="false">Aux!J6</f>
        <v>Oportunidade</v>
      </c>
      <c r="S6" s="1" t="n">
        <f aca="false">IF('Fatores Externos (O-A)'!R6="","",'Fatores Externos (O-A)'!R6)</f>
        <v>3</v>
      </c>
      <c r="T6" s="1" t="n">
        <f aca="false">IF(AND(R6="Oportunidade",ISNUMBER(S6)),IF(S6&gt;=Parâmetros!$B$5,1,0),0)</f>
        <v>1</v>
      </c>
      <c r="U6" s="1" t="n">
        <f aca="false">IF(T6=1,SUM(T$6:T6),"")</f>
        <v>1</v>
      </c>
      <c r="V6" s="1" t="n">
        <f aca="false">IF(AND(R6="Ameaça",ISNUMBER(S6)),IF(S6&gt;=Parâmetros!$B$5,1,0),0)</f>
        <v>0</v>
      </c>
      <c r="W6" s="1" t="str">
        <f aca="false">IF(V6=1,SUM(V$6:V6),"")</f>
        <v/>
      </c>
    </row>
    <row r="7" customFormat="false" ht="15" hidden="false" customHeight="true" outlineLevel="0" collapsed="false">
      <c r="B7" s="13" t="s">
        <v>29</v>
      </c>
      <c r="C7" s="13" t="s">
        <v>30</v>
      </c>
      <c r="D7" s="13" t="s">
        <v>31</v>
      </c>
      <c r="F7" s="14" t="s">
        <v>29</v>
      </c>
      <c r="G7" s="14" t="s">
        <v>30</v>
      </c>
      <c r="H7" s="14" t="s">
        <v>31</v>
      </c>
      <c r="K7" s="1" t="str">
        <f aca="false">Aux!B7</f>
        <v>[Agropecuária] AGR-02 – Valor da produção das lavouras por área colhida (R$/ha)</v>
      </c>
      <c r="L7" s="1" t="str">
        <f aca="false">'Indicadores (F-W)'!AM7</f>
        <v>Fraqueza</v>
      </c>
      <c r="M7" s="88" t="n">
        <f aca="false">IF('Indicadores (F-W)'!AL7="","",'Indicadores (F-W)'!AL7)</f>
        <v>4958.82</v>
      </c>
      <c r="N7" s="1" t="str">
        <f aca="false">IF(L7="Força",COUNTIF(L$6:L7,"Força"),"")</f>
        <v/>
      </c>
      <c r="O7" s="1" t="n">
        <f aca="false">IF(L7="Fraqueza",COUNTIF(L$6:L7,"Fraqueza"),"")</f>
        <v>1</v>
      </c>
      <c r="Q7" s="1" t="str">
        <f aca="false">Aux!I7</f>
        <v>[Agropecuária] OP-02 – Mercados para produtos diferenciados e certificados (carne sustentável/orgânica, origem Pantanal)</v>
      </c>
      <c r="R7" s="1" t="str">
        <f aca="false">Aux!J7</f>
        <v>Oportunidade</v>
      </c>
      <c r="S7" s="1" t="n">
        <f aca="false">IF('Fatores Externos (O-A)'!R7="","",'Fatores Externos (O-A)'!R7)</f>
        <v>3</v>
      </c>
      <c r="T7" s="1" t="n">
        <f aca="false">IF(AND(R7="Oportunidade",ISNUMBER(S7)),IF(S7&gt;=Parâmetros!$B$5,1,0),0)</f>
        <v>1</v>
      </c>
      <c r="U7" s="1" t="n">
        <f aca="false">IF(T7=1,SUM(T$6:T7),"")</f>
        <v>2</v>
      </c>
      <c r="V7" s="1" t="n">
        <f aca="false">IF(AND(R7="Ameaça",ISNUMBER(S7)),IF(S7&gt;=Parâmetros!$B$5,1,0),0)</f>
        <v>0</v>
      </c>
      <c r="W7" s="1" t="str">
        <f aca="false">IF(V7=1,SUM(V$6:V7),"")</f>
        <v/>
      </c>
    </row>
    <row r="8" customFormat="false" ht="30" hidden="false" customHeight="true" outlineLevel="0" collapsed="false">
      <c r="A8" s="15" t="s">
        <v>32</v>
      </c>
      <c r="B8" s="16" t="n">
        <f aca="false">IF(C8="","",1)</f>
        <v>1</v>
      </c>
      <c r="C8" s="17" t="str">
        <f aca="false">IFERROR(INDEX($K$6:$K$21,MATCH(1,$N$6:$N$21,0)),"")</f>
        <v>[Agropecuária] AGR-01 – Quociente locacional do VAB agropecuário (base MT) (índice)</v>
      </c>
      <c r="D8" s="18" t="n">
        <f aca="false">IFERROR(INDEX($M$6:$M$21,MATCH(1,$N$6:$N$21,0)),"")</f>
        <v>1.714</v>
      </c>
      <c r="F8" s="19" t="n">
        <f aca="false">IF(G8="","",1)</f>
        <v>1</v>
      </c>
      <c r="G8" s="20" t="str">
        <f aca="false">IFERROR(INDEX($K$6:$K$21,MATCH(1,$O$6:$O$21,0)),"")</f>
        <v>[Agropecuária] AGR-02 – Valor da produção das lavouras por área colhida (R$/ha)</v>
      </c>
      <c r="H8" s="21" t="n">
        <f aca="false">IFERROR(INDEX($M$6:$M$21,MATCH(1,$O$6:$O$21,0)),"")</f>
        <v>4958.82</v>
      </c>
      <c r="K8" s="1" t="str">
        <f aca="false">Aux!B8</f>
        <v>[Agropecuária] AGR-03 – Variação do efetivo bovino em 5 anos (%)</v>
      </c>
      <c r="L8" s="1" t="str">
        <f aca="false">'Indicadores (F-W)'!AM8</f>
        <v>Neutro</v>
      </c>
      <c r="M8" s="88" t="n">
        <f aca="false">IF('Indicadores (F-W)'!AL8="","",'Indicadores (F-W)'!AL8)</f>
        <v>4.74</v>
      </c>
      <c r="N8" s="1" t="str">
        <f aca="false">IF(L8="Força",COUNTIF(L$6:L8,"Força"),"")</f>
        <v/>
      </c>
      <c r="O8" s="1" t="str">
        <f aca="false">IF(L8="Fraqueza",COUNTIF(L$6:L8,"Fraqueza"),"")</f>
        <v/>
      </c>
      <c r="Q8" s="1" t="str">
        <f aca="false">Aux!I8</f>
        <v>[Comércio e Serviços] OP-03 – Expansão do turismo de natureza, pesca esportiva e ecoturismo</v>
      </c>
      <c r="R8" s="1" t="str">
        <f aca="false">Aux!J8</f>
        <v>Oportunidade</v>
      </c>
      <c r="S8" s="1" t="n">
        <f aca="false">IF('Fatores Externos (O-A)'!R8="","",'Fatores Externos (O-A)'!R8)</f>
        <v>2</v>
      </c>
      <c r="T8" s="1" t="n">
        <f aca="false">IF(AND(R8="Oportunidade",ISNUMBER(S8)),IF(S8&gt;=Parâmetros!$B$5,1,0),0)</f>
        <v>1</v>
      </c>
      <c r="U8" s="1" t="n">
        <f aca="false">IF(T8=1,SUM(T$6:T8),"")</f>
        <v>3</v>
      </c>
      <c r="V8" s="1" t="n">
        <f aca="false">IF(AND(R8="Ameaça",ISNUMBER(S8)),IF(S8&gt;=Parâmetros!$B$5,1,0),0)</f>
        <v>0</v>
      </c>
      <c r="W8" s="1" t="str">
        <f aca="false">IF(V8=1,SUM(V$6:V8),"")</f>
        <v/>
      </c>
    </row>
    <row r="9" customFormat="false" ht="30" hidden="false" customHeight="true" outlineLevel="0" collapsed="false">
      <c r="A9" s="15"/>
      <c r="B9" s="16" t="n">
        <f aca="false">IF(C9="","",2)</f>
        <v>2</v>
      </c>
      <c r="C9" s="17" t="str">
        <f aca="false">IFERROR(INDEX($K$6:$K$21,MATCH(2,$N$6:$N$21,0)),"")</f>
        <v>[Indústria] IND-02 – Variação do emprego formal na indústria em 5 anos (%)</v>
      </c>
      <c r="D9" s="18" t="n">
        <f aca="false">IFERROR(INDEX($M$6:$M$21,MATCH(2,$N$6:$N$21,0)),"")</f>
        <v>100</v>
      </c>
      <c r="F9" s="19" t="n">
        <f aca="false">IF(G9="","",2)</f>
        <v>2</v>
      </c>
      <c r="G9" s="20" t="str">
        <f aca="false">IFERROR(INDEX($K$6:$K$21,MATCH(2,$O$6:$O$21,0)),"")</f>
        <v>[Indústria] IND-01 – Quociente locacional do VAB industrial (base MT) (índice)</v>
      </c>
      <c r="H9" s="21" t="n">
        <f aca="false">IFERROR(INDEX($M$6:$M$21,MATCH(2,$O$6:$O$21,0)),"")</f>
        <v>0.4719</v>
      </c>
      <c r="K9" s="1" t="str">
        <f aca="false">Aux!B9</f>
        <v>[Agropecuária] AGR-04 – Estabelecimentos agropecuários que receberam assistência técnica (%)</v>
      </c>
      <c r="L9" s="1" t="str">
        <f aca="false">'Indicadores (F-W)'!AM9</f>
        <v/>
      </c>
      <c r="M9" s="1" t="str">
        <f aca="false">IF('Indicadores (F-W)'!AL9="","",'Indicadores (F-W)'!AL9)</f>
        <v/>
      </c>
      <c r="N9" s="1" t="str">
        <f aca="false">IF(L9="Força",COUNTIF(L$6:L9,"Força"),"")</f>
        <v/>
      </c>
      <c r="O9" s="1" t="str">
        <f aca="false">IF(L9="Fraqueza",COUNTIF(L$6:L9,"Fraqueza"),"")</f>
        <v/>
      </c>
      <c r="Q9" s="1" t="str">
        <f aca="false">Aux!I9</f>
        <v>[Indústria] OP-04 – Agroindustrialização e verticalização (frigoríficos, laticínios, sucroenergético)</v>
      </c>
      <c r="R9" s="1" t="str">
        <f aca="false">Aux!J9</f>
        <v>Oportunidade</v>
      </c>
      <c r="S9" s="1" t="n">
        <f aca="false">IF('Fatores Externos (O-A)'!R9="","",'Fatores Externos (O-A)'!R9)</f>
        <v>1</v>
      </c>
      <c r="T9" s="1" t="n">
        <f aca="false">IF(AND(R9="Oportunidade",ISNUMBER(S9)),IF(S9&gt;=Parâmetros!$B$5,1,0),0)</f>
        <v>0</v>
      </c>
      <c r="U9" s="1" t="str">
        <f aca="false">IF(T9=1,SUM(T$6:T9),"")</f>
        <v/>
      </c>
      <c r="V9" s="1" t="n">
        <f aca="false">IF(AND(R9="Ameaça",ISNUMBER(S9)),IF(S9&gt;=Parâmetros!$B$5,1,0),0)</f>
        <v>0</v>
      </c>
      <c r="W9" s="1" t="str">
        <f aca="false">IF(V9=1,SUM(V$6:V9),"")</f>
        <v/>
      </c>
    </row>
    <row r="10" customFormat="false" ht="30" hidden="false" customHeight="true" outlineLevel="0" collapsed="false">
      <c r="A10" s="15"/>
      <c r="B10" s="16" t="str">
        <f aca="false">IF(C10="","",3)</f>
        <v/>
      </c>
      <c r="C10" s="17" t="str">
        <f aca="false">IFERROR(INDEX($K$6:$K$21,MATCH(3,$N$6:$N$21,0)),"")</f>
        <v/>
      </c>
      <c r="D10" s="18" t="str">
        <f aca="false">IFERROR(INDEX($M$6:$M$21,MATCH(3,$N$6:$N$21,0)),"")</f>
        <v/>
      </c>
      <c r="F10" s="19" t="n">
        <f aca="false">IF(G10="","",3)</f>
        <v>3</v>
      </c>
      <c r="G10" s="20" t="str">
        <f aca="false">IFERROR(INDEX($K$6:$K$21,MATCH(3,$O$6:$O$21,0)),"")</f>
        <v>[Indústria] IND-03 – Remuneração média do emprego formal industrial (R$)</v>
      </c>
      <c r="H10" s="21" t="n">
        <f aca="false">IFERROR(INDEX($M$6:$M$21,MATCH(3,$O$6:$O$21,0)),"")</f>
        <v>2394.42</v>
      </c>
      <c r="K10" s="1" t="str">
        <f aca="false">Aux!B10</f>
        <v>[Agropecuária] AGR-05 – Diversificação agrícola (1 − HHI do valor da produção das lavouras) (índice 0–1)</v>
      </c>
      <c r="L10" s="1" t="str">
        <f aca="false">'Indicadores (F-W)'!AM10</f>
        <v/>
      </c>
      <c r="M10" s="1" t="str">
        <f aca="false">IF('Indicadores (F-W)'!AL10="","",'Indicadores (F-W)'!AL10)</f>
        <v/>
      </c>
      <c r="N10" s="1" t="str">
        <f aca="false">IF(L10="Força",COUNTIF(L$6:L10,"Força"),"")</f>
        <v/>
      </c>
      <c r="O10" s="1" t="str">
        <f aca="false">IF(L10="Fraqueza",COUNTIF(L$6:L10,"Fraqueza"),"")</f>
        <v/>
      </c>
      <c r="Q10" s="1" t="str">
        <f aca="false">Aux!I10</f>
        <v>[Estrutura Econômica e Fiscal] OP-05 – Corredores logísticos (rodovias federais, ferrovia, hidrovia do Paraguai)</v>
      </c>
      <c r="R10" s="1" t="str">
        <f aca="false">Aux!J10</f>
        <v>Oportunidade</v>
      </c>
      <c r="S10" s="1" t="n">
        <f aca="false">IF('Fatores Externos (O-A)'!R10="","",'Fatores Externos (O-A)'!R10)</f>
        <v>2</v>
      </c>
      <c r="T10" s="1" t="n">
        <f aca="false">IF(AND(R10="Oportunidade",ISNUMBER(S10)),IF(S10&gt;=Parâmetros!$B$5,1,0),0)</f>
        <v>1</v>
      </c>
      <c r="U10" s="1" t="n">
        <f aca="false">IF(T10=1,SUM(T$6:T10),"")</f>
        <v>4</v>
      </c>
      <c r="V10" s="1" t="n">
        <f aca="false">IF(AND(R10="Ameaça",ISNUMBER(S10)),IF(S10&gt;=Parâmetros!$B$5,1,0),0)</f>
        <v>0</v>
      </c>
      <c r="W10" s="1" t="str">
        <f aca="false">IF(V10=1,SUM(V$6:V10),"")</f>
        <v/>
      </c>
    </row>
    <row r="11" customFormat="false" ht="30" hidden="false" customHeight="true" outlineLevel="0" collapsed="false">
      <c r="A11" s="15"/>
      <c r="B11" s="16" t="str">
        <f aca="false">IF(C11="","",4)</f>
        <v/>
      </c>
      <c r="C11" s="17" t="str">
        <f aca="false">IFERROR(INDEX($K$6:$K$21,MATCH(4,$N$6:$N$21,0)),"")</f>
        <v/>
      </c>
      <c r="D11" s="18" t="str">
        <f aca="false">IFERROR(INDEX($M$6:$M$21,MATCH(4,$N$6:$N$21,0)),"")</f>
        <v/>
      </c>
      <c r="F11" s="19" t="n">
        <f aca="false">IF(G11="","",4)</f>
        <v>4</v>
      </c>
      <c r="G11" s="20" t="str">
        <f aca="false">IFERROR(INDEX($K$6:$K$21,MATCH(4,$O$6:$O$21,0)),"")</f>
        <v>[Comércio e Serviços] CS-01 – Quociente locacional do VAB de serviços, exceto adm. pública (base MT) (índice)</v>
      </c>
      <c r="H11" s="21" t="n">
        <f aca="false">IFERROR(INDEX($M$6:$M$21,MATCH(4,$O$6:$O$21,0)),"")</f>
        <v>0.3417</v>
      </c>
      <c r="K11" s="1" t="str">
        <f aca="false">Aux!B11</f>
        <v>[Indústria] IND-01 – Quociente locacional do VAB industrial (base MT) (índice)</v>
      </c>
      <c r="L11" s="1" t="str">
        <f aca="false">'Indicadores (F-W)'!AM11</f>
        <v>Fraqueza</v>
      </c>
      <c r="M11" s="87" t="n">
        <f aca="false">IF('Indicadores (F-W)'!AL11="","",'Indicadores (F-W)'!AL11)</f>
        <v>0.4719</v>
      </c>
      <c r="N11" s="1" t="str">
        <f aca="false">IF(L11="Força",COUNTIF(L$6:L11,"Força"),"")</f>
        <v/>
      </c>
      <c r="O11" s="1" t="n">
        <f aca="false">IF(L11="Fraqueza",COUNTIF(L$6:L11,"Fraqueza"),"")</f>
        <v>2</v>
      </c>
      <c r="Q11" s="1" t="str">
        <f aca="false">Aux!I11</f>
        <v>[Estrutura Econômica e Fiscal] OP-06 – Instrumentos de fomento e financiamento (FCO, crédito rural, PSA, mercado de carbono)</v>
      </c>
      <c r="R11" s="1" t="str">
        <f aca="false">Aux!J11</f>
        <v>Oportunidade</v>
      </c>
      <c r="S11" s="1" t="n">
        <f aca="false">IF('Fatores Externos (O-A)'!R11="","",'Fatores Externos (O-A)'!R11)</f>
        <v>3</v>
      </c>
      <c r="T11" s="1" t="n">
        <f aca="false">IF(AND(R11="Oportunidade",ISNUMBER(S11)),IF(S11&gt;=Parâmetros!$B$5,1,0),0)</f>
        <v>1</v>
      </c>
      <c r="U11" s="1" t="n">
        <f aca="false">IF(T11=1,SUM(T$6:T11),"")</f>
        <v>5</v>
      </c>
      <c r="V11" s="1" t="n">
        <f aca="false">IF(AND(R11="Ameaça",ISNUMBER(S11)),IF(S11&gt;=Parâmetros!$B$5,1,0),0)</f>
        <v>0</v>
      </c>
      <c r="W11" s="1" t="str">
        <f aca="false">IF(V11=1,SUM(V$6:V11),"")</f>
        <v/>
      </c>
    </row>
    <row r="12" customFormat="false" ht="30" hidden="false" customHeight="true" outlineLevel="0" collapsed="false">
      <c r="A12" s="15"/>
      <c r="B12" s="16" t="str">
        <f aca="false">IF(C12="","",5)</f>
        <v/>
      </c>
      <c r="C12" s="17" t="str">
        <f aca="false">IFERROR(INDEX($K$6:$K$21,MATCH(5,$N$6:$N$21,0)),"")</f>
        <v/>
      </c>
      <c r="D12" s="18" t="str">
        <f aca="false">IFERROR(INDEX($M$6:$M$21,MATCH(5,$N$6:$N$21,0)),"")</f>
        <v/>
      </c>
      <c r="F12" s="19" t="n">
        <f aca="false">IF(G12="","",5)</f>
        <v>5</v>
      </c>
      <c r="G12" s="20" t="str">
        <f aca="false">IFERROR(INDEX($K$6:$K$21,MATCH(5,$O$6:$O$21,0)),"")</f>
        <v>[Comércio e Serviços] CS-02 – Variação do emprego formal em comércio e serviços em 5 anos (%)</v>
      </c>
      <c r="H12" s="21" t="n">
        <f aca="false">IFERROR(INDEX($M$6:$M$21,MATCH(5,$O$6:$O$21,0)),"")</f>
        <v>31.02</v>
      </c>
      <c r="K12" s="1" t="str">
        <f aca="false">Aux!B12</f>
        <v>[Indústria] IND-02 – Variação do emprego formal na indústria em 5 anos (%)</v>
      </c>
      <c r="L12" s="1" t="str">
        <f aca="false">'Indicadores (F-W)'!AM12</f>
        <v>Força</v>
      </c>
      <c r="M12" s="88" t="n">
        <f aca="false">IF('Indicadores (F-W)'!AL12="","",'Indicadores (F-W)'!AL12)</f>
        <v>100</v>
      </c>
      <c r="N12" s="1" t="n">
        <f aca="false">IF(L12="Força",COUNTIF(L$6:L12,"Força"),"")</f>
        <v>2</v>
      </c>
      <c r="O12" s="1" t="str">
        <f aca="false">IF(L12="Fraqueza",COUNTIF(L$6:L12,"Fraqueza"),"")</f>
        <v/>
      </c>
      <c r="Q12" s="1" t="str">
        <f aca="false">Aux!I12</f>
        <v>[Agropecuária] AM-01 – Eventos climáticos extremos: secas prolongadas e incêndios no Pantanal</v>
      </c>
      <c r="R12" s="1" t="str">
        <f aca="false">Aux!J12</f>
        <v>Ameaça</v>
      </c>
      <c r="S12" s="1" t="n">
        <f aca="false">IF('Fatores Externos (O-A)'!R12="","",'Fatores Externos (O-A)'!R12)</f>
        <v>3</v>
      </c>
      <c r="T12" s="1" t="n">
        <f aca="false">IF(AND(R12="Oportunidade",ISNUMBER(S12)),IF(S12&gt;=Parâmetros!$B$5,1,0),0)</f>
        <v>0</v>
      </c>
      <c r="U12" s="1" t="str">
        <f aca="false">IF(T12=1,SUM(T$6:T12),"")</f>
        <v/>
      </c>
      <c r="V12" s="1" t="n">
        <f aca="false">IF(AND(R12="Ameaça",ISNUMBER(S12)),IF(S12&gt;=Parâmetros!$B$5,1,0),0)</f>
        <v>1</v>
      </c>
      <c r="W12" s="1" t="n">
        <f aca="false">IF(V12=1,SUM(V$6:V12),"")</f>
        <v>1</v>
      </c>
    </row>
    <row r="13" customFormat="false" ht="30" hidden="false" customHeight="true" outlineLevel="0" collapsed="false">
      <c r="A13" s="15"/>
      <c r="B13" s="16" t="str">
        <f aca="false">IF(C13="","",6)</f>
        <v/>
      </c>
      <c r="C13" s="17" t="str">
        <f aca="false">IFERROR(INDEX($K$6:$K$21,MATCH(6,$N$6:$N$21,0)),"")</f>
        <v/>
      </c>
      <c r="D13" s="18" t="str">
        <f aca="false">IFERROR(INDEX($M$6:$M$21,MATCH(6,$N$6:$N$21,0)),"")</f>
        <v/>
      </c>
      <c r="F13" s="19" t="n">
        <f aca="false">IF(G13="","",6)</f>
        <v>6</v>
      </c>
      <c r="G13" s="20" t="str">
        <f aca="false">IFERROR(INDEX($K$6:$K$21,MATCH(6,$O$6:$O$21,0)),"")</f>
        <v>[Comércio e Serviços] CS-03 – Empresas e outras organizações ativas por mil habitantes (un./mil hab.)</v>
      </c>
      <c r="H13" s="21" t="n">
        <f aca="false">IFERROR(INDEX($M$6:$M$21,MATCH(6,$O$6:$O$21,0)),"")</f>
        <v>16.12</v>
      </c>
      <c r="K13" s="1" t="str">
        <f aca="false">Aux!B13</f>
        <v>[Indústria] IND-03 – Remuneração média do emprego formal industrial (R$)</v>
      </c>
      <c r="L13" s="1" t="str">
        <f aca="false">'Indicadores (F-W)'!AM13</f>
        <v>Fraqueza</v>
      </c>
      <c r="M13" s="88" t="n">
        <f aca="false">IF('Indicadores (F-W)'!AL13="","",'Indicadores (F-W)'!AL13)</f>
        <v>2394.42</v>
      </c>
      <c r="N13" s="1" t="str">
        <f aca="false">IF(L13="Força",COUNTIF(L$6:L13,"Força"),"")</f>
        <v/>
      </c>
      <c r="O13" s="1" t="n">
        <f aca="false">IF(L13="Fraqueza",COUNTIF(L$6:L13,"Fraqueza"),"")</f>
        <v>3</v>
      </c>
      <c r="Q13" s="1" t="str">
        <f aca="false">Aux!I13</f>
        <v>[Agropecuária] AM-02 – Volatilidade de preços de commodities (boi gordo, soja, milho)</v>
      </c>
      <c r="R13" s="1" t="str">
        <f aca="false">Aux!J13</f>
        <v>Ameaça</v>
      </c>
      <c r="S13" s="1" t="n">
        <f aca="false">IF('Fatores Externos (O-A)'!R13="","",'Fatores Externos (O-A)'!R13)</f>
        <v>3</v>
      </c>
      <c r="T13" s="1" t="n">
        <f aca="false">IF(AND(R13="Oportunidade",ISNUMBER(S13)),IF(S13&gt;=Parâmetros!$B$5,1,0),0)</f>
        <v>0</v>
      </c>
      <c r="U13" s="1" t="str">
        <f aca="false">IF(T13=1,SUM(T$6:T13),"")</f>
        <v/>
      </c>
      <c r="V13" s="1" t="n">
        <f aca="false">IF(AND(R13="Ameaça",ISNUMBER(S13)),IF(S13&gt;=Parâmetros!$B$5,1,0),0)</f>
        <v>1</v>
      </c>
      <c r="W13" s="1" t="n">
        <f aca="false">IF(V13=1,SUM(V$6:V13),"")</f>
        <v>2</v>
      </c>
    </row>
    <row r="14" customFormat="false" ht="30" hidden="false" customHeight="true" outlineLevel="0" collapsed="false">
      <c r="A14" s="15"/>
      <c r="B14" s="16" t="str">
        <f aca="false">IF(C14="","",7)</f>
        <v/>
      </c>
      <c r="C14" s="17" t="str">
        <f aca="false">IFERROR(INDEX($K$6:$K$21,MATCH(7,$N$6:$N$21,0)),"")</f>
        <v/>
      </c>
      <c r="D14" s="18" t="str">
        <f aca="false">IFERROR(INDEX($M$6:$M$21,MATCH(7,$N$6:$N$21,0)),"")</f>
        <v/>
      </c>
      <c r="F14" s="19" t="n">
        <f aca="false">IF(G14="","",7)</f>
        <v>7</v>
      </c>
      <c r="G14" s="20" t="str">
        <f aca="false">IFERROR(INDEX($K$6:$K$21,MATCH(7,$O$6:$O$21,0)),"")</f>
        <v>[Estrutura Econômica e Fiscal] EST-01 – PIB per capita (R$)</v>
      </c>
      <c r="H14" s="21" t="n">
        <f aca="false">IFERROR(INDEX($M$6:$M$21,MATCH(7,$O$6:$O$21,0)),"")</f>
        <v>48781.11</v>
      </c>
      <c r="K14" s="1" t="str">
        <f aca="false">Aux!B14</f>
        <v>[Comércio e Serviços] CS-01 – Quociente locacional do VAB de serviços, exceto adm. pública (base MT) (índice)</v>
      </c>
      <c r="L14" s="1" t="str">
        <f aca="false">'Indicadores (F-W)'!AM14</f>
        <v>Fraqueza</v>
      </c>
      <c r="M14" s="87" t="n">
        <f aca="false">IF('Indicadores (F-W)'!AL14="","",'Indicadores (F-W)'!AL14)</f>
        <v>0.3417</v>
      </c>
      <c r="N14" s="1" t="str">
        <f aca="false">IF(L14="Força",COUNTIF(L$6:L14,"Força"),"")</f>
        <v/>
      </c>
      <c r="O14" s="1" t="n">
        <f aca="false">IF(L14="Fraqueza",COUNTIF(L$6:L14,"Fraqueza"),"")</f>
        <v>4</v>
      </c>
      <c r="Q14" s="1" t="str">
        <f aca="false">Aux!I14</f>
        <v>[Agropecuária] AM-03 – Exigências ambientais de mercados importadores e barreiras ligadas a desmatamento (ex.: EUDR)</v>
      </c>
      <c r="R14" s="1" t="str">
        <f aca="false">Aux!J14</f>
        <v>Ameaça</v>
      </c>
      <c r="S14" s="1" t="n">
        <f aca="false">IF('Fatores Externos (O-A)'!R14="","",'Fatores Externos (O-A)'!R14)</f>
        <v>3</v>
      </c>
      <c r="T14" s="1" t="n">
        <f aca="false">IF(AND(R14="Oportunidade",ISNUMBER(S14)),IF(S14&gt;=Parâmetros!$B$5,1,0),0)</f>
        <v>0</v>
      </c>
      <c r="U14" s="1" t="str">
        <f aca="false">IF(T14=1,SUM(T$6:T14),"")</f>
        <v/>
      </c>
      <c r="V14" s="1" t="n">
        <f aca="false">IF(AND(R14="Ameaça",ISNUMBER(S14)),IF(S14&gt;=Parâmetros!$B$5,1,0),0)</f>
        <v>1</v>
      </c>
      <c r="W14" s="1" t="n">
        <f aca="false">IF(V14=1,SUM(V$6:V14),"")</f>
        <v>3</v>
      </c>
    </row>
    <row r="15" customFormat="false" ht="30" hidden="false" customHeight="true" outlineLevel="0" collapsed="false">
      <c r="A15" s="15"/>
      <c r="B15" s="16" t="str">
        <f aca="false">IF(C15="","",8)</f>
        <v/>
      </c>
      <c r="C15" s="17" t="str">
        <f aca="false">IFERROR(INDEX($K$6:$K$21,MATCH(8,$N$6:$N$21,0)),"")</f>
        <v/>
      </c>
      <c r="D15" s="18" t="str">
        <f aca="false">IFERROR(INDEX($M$6:$M$21,MATCH(8,$N$6:$N$21,0)),"")</f>
        <v/>
      </c>
      <c r="F15" s="19" t="n">
        <f aca="false">IF(G15="","",8)</f>
        <v>8</v>
      </c>
      <c r="G15" s="20" t="str">
        <f aca="false">IFERROR(INDEX($K$6:$K$21,MATCH(8,$O$6:$O$21,0)),"")</f>
        <v>[Estrutura Econômica e Fiscal] EST-02 – Participação da administração pública no VAB total (%)</v>
      </c>
      <c r="H15" s="21" t="n">
        <f aca="false">IFERROR(INDEX($M$6:$M$21,MATCH(8,$O$6:$O$21,0)),"")</f>
        <v>15.78</v>
      </c>
      <c r="K15" s="1" t="str">
        <f aca="false">Aux!B15</f>
        <v>[Comércio e Serviços] CS-02 – Variação do emprego formal em comércio e serviços em 5 anos (%)</v>
      </c>
      <c r="L15" s="1" t="str">
        <f aca="false">'Indicadores (F-W)'!AM15</f>
        <v>Fraqueza</v>
      </c>
      <c r="M15" s="88" t="n">
        <f aca="false">IF('Indicadores (F-W)'!AL15="","",'Indicadores (F-W)'!AL15)</f>
        <v>31.02</v>
      </c>
      <c r="N15" s="1" t="str">
        <f aca="false">IF(L15="Força",COUNTIF(L$6:L15,"Força"),"")</f>
        <v/>
      </c>
      <c r="O15" s="1" t="n">
        <f aca="false">IF(L15="Fraqueza",COUNTIF(L$6:L15,"Fraqueza"),"")</f>
        <v>5</v>
      </c>
      <c r="Q15" s="1" t="str">
        <f aca="false">Aux!I15</f>
        <v>[Estrutura Econômica e Fiscal] AM-04 – Transição da Reforma Tributária (IBS/CBS) e efeitos sobre a repartição de receitas municipais</v>
      </c>
      <c r="R15" s="1" t="str">
        <f aca="false">Aux!J15</f>
        <v>Ameaça</v>
      </c>
      <c r="S15" s="1" t="n">
        <f aca="false">IF('Fatores Externos (O-A)'!R15="","",'Fatores Externos (O-A)'!R15)</f>
        <v>2</v>
      </c>
      <c r="T15" s="1" t="n">
        <f aca="false">IF(AND(R15="Oportunidade",ISNUMBER(S15)),IF(S15&gt;=Parâmetros!$B$5,1,0),0)</f>
        <v>0</v>
      </c>
      <c r="U15" s="1" t="str">
        <f aca="false">IF(T15=1,SUM(T$6:T15),"")</f>
        <v/>
      </c>
      <c r="V15" s="1" t="n">
        <f aca="false">IF(AND(R15="Ameaça",ISNUMBER(S15)),IF(S15&gt;=Parâmetros!$B$5,1,0),0)</f>
        <v>1</v>
      </c>
      <c r="W15" s="1" t="n">
        <f aca="false">IF(V15=1,SUM(V$6:V15),"")</f>
        <v>4</v>
      </c>
    </row>
    <row r="16" customFormat="false" ht="30" hidden="false" customHeight="true" outlineLevel="0" collapsed="false">
      <c r="A16" s="15"/>
      <c r="B16" s="16" t="str">
        <f aca="false">IF(C16="","",9)</f>
        <v/>
      </c>
      <c r="C16" s="17" t="str">
        <f aca="false">IFERROR(INDEX($K$6:$K$21,MATCH(9,$N$6:$N$21,0)),"")</f>
        <v/>
      </c>
      <c r="D16" s="18" t="str">
        <f aca="false">IFERROR(INDEX($M$6:$M$21,MATCH(9,$N$6:$N$21,0)),"")</f>
        <v/>
      </c>
      <c r="F16" s="19" t="n">
        <f aca="false">IF(G16="","",9)</f>
        <v>9</v>
      </c>
      <c r="G16" s="20" t="str">
        <f aca="false">IFERROR(INDEX($K$6:$K$21,MATCH(9,$O$6:$O$21,0)),"")</f>
        <v>[Estrutura Econômica e Fiscal] EST-03 – Vínculos formais por 100 habitantes (vínculos/100 hab.)</v>
      </c>
      <c r="H16" s="21" t="n">
        <f aca="false">IFERROR(INDEX($M$6:$M$21,MATCH(9,$O$6:$O$21,0)),"")</f>
        <v>19.67</v>
      </c>
      <c r="K16" s="1" t="str">
        <f aca="false">Aux!B16</f>
        <v>[Comércio e Serviços] CS-03 – Empresas e outras organizações ativas por mil habitantes (un./mil hab.)</v>
      </c>
      <c r="L16" s="1" t="str">
        <f aca="false">'Indicadores (F-W)'!AM16</f>
        <v>Fraqueza</v>
      </c>
      <c r="M16" s="88" t="n">
        <f aca="false">IF('Indicadores (F-W)'!AL16="","",'Indicadores (F-W)'!AL16)</f>
        <v>16.12</v>
      </c>
      <c r="N16" s="1" t="str">
        <f aca="false">IF(L16="Força",COUNTIF(L$6:L16,"Força"),"")</f>
        <v/>
      </c>
      <c r="O16" s="1" t="n">
        <f aca="false">IF(L16="Fraqueza",COUNTIF(L$6:L16,"Fraqueza"),"")</f>
        <v>6</v>
      </c>
      <c r="Q16" s="1" t="str">
        <f aca="false">Aux!I16</f>
        <v>[Comércio e Serviços] AM-05 – Polarização regional por centros maiores (evasão de consumo, serviços e mão de obra)</v>
      </c>
      <c r="R16" s="1" t="str">
        <f aca="false">Aux!J16</f>
        <v>Ameaça</v>
      </c>
      <c r="S16" s="1" t="n">
        <f aca="false">IF('Fatores Externos (O-A)'!R16="","",'Fatores Externos (O-A)'!R16)</f>
        <v>3</v>
      </c>
      <c r="T16" s="1" t="n">
        <f aca="false">IF(AND(R16="Oportunidade",ISNUMBER(S16)),IF(S16&gt;=Parâmetros!$B$5,1,0),0)</f>
        <v>0</v>
      </c>
      <c r="U16" s="1" t="str">
        <f aca="false">IF(T16=1,SUM(T$6:T16),"")</f>
        <v/>
      </c>
      <c r="V16" s="1" t="n">
        <f aca="false">IF(AND(R16="Ameaça",ISNUMBER(S16)),IF(S16&gt;=Parâmetros!$B$5,1,0),0)</f>
        <v>1</v>
      </c>
      <c r="W16" s="1" t="n">
        <f aca="false">IF(V16=1,SUM(V$6:V16),"")</f>
        <v>5</v>
      </c>
    </row>
    <row r="17" customFormat="false" ht="30" hidden="false" customHeight="true" outlineLevel="0" collapsed="false">
      <c r="A17" s="15"/>
      <c r="B17" s="16" t="str">
        <f aca="false">IF(C17="","",10)</f>
        <v/>
      </c>
      <c r="C17" s="17" t="str">
        <f aca="false">IFERROR(INDEX($K$6:$K$21,MATCH(10,$N$6:$N$21,0)),"")</f>
        <v/>
      </c>
      <c r="D17" s="18" t="str">
        <f aca="false">IFERROR(INDEX($M$6:$M$21,MATCH(10,$N$6:$N$21,0)),"")</f>
        <v/>
      </c>
      <c r="F17" s="19" t="n">
        <f aca="false">IF(G17="","",10)</f>
        <v>10</v>
      </c>
      <c r="G17" s="20" t="str">
        <f aca="false">IFERROR(INDEX($K$6:$K$21,MATCH(10,$O$6:$O$21,0)),"")</f>
        <v>[Estrutura Econômica e Fiscal] EST-04 – Concentração setorial do emprego formal (HHI por seção CNAE) (índice 0–1)</v>
      </c>
      <c r="H17" s="21" t="n">
        <f aca="false">IFERROR(INDEX($M$6:$M$21,MATCH(10,$O$6:$O$21,0)),"")</f>
        <v>0.2362</v>
      </c>
      <c r="K17" s="1" t="str">
        <f aca="false">Aux!B17</f>
        <v>[Estrutura Econômica e Fiscal] EST-01 – PIB per capita (R$)</v>
      </c>
      <c r="L17" s="1" t="str">
        <f aca="false">'Indicadores (F-W)'!AM17</f>
        <v>Fraqueza</v>
      </c>
      <c r="M17" s="89" t="n">
        <f aca="false">IF('Indicadores (F-W)'!AL17="","",'Indicadores (F-W)'!AL17)</f>
        <v>48781.11</v>
      </c>
      <c r="N17" s="1" t="str">
        <f aca="false">IF(L17="Força",COUNTIF(L$6:L17,"Força"),"")</f>
        <v/>
      </c>
      <c r="O17" s="1" t="n">
        <f aca="false">IF(L17="Fraqueza",COUNTIF(L$6:L17,"Fraqueza"),"")</f>
        <v>7</v>
      </c>
    </row>
    <row r="18" customFormat="false" ht="30" hidden="false" customHeight="true" outlineLevel="0" collapsed="false">
      <c r="A18" s="15"/>
      <c r="B18" s="16" t="str">
        <f aca="false">IF(C18="","",11)</f>
        <v/>
      </c>
      <c r="C18" s="17" t="str">
        <f aca="false">IFERROR(INDEX($K$6:$K$21,MATCH(11,$N$6:$N$21,0)),"")</f>
        <v/>
      </c>
      <c r="D18" s="18" t="str">
        <f aca="false">IFERROR(INDEX($M$6:$M$21,MATCH(11,$N$6:$N$21,0)),"")</f>
        <v/>
      </c>
      <c r="F18" s="19" t="n">
        <f aca="false">IF(G18="","",11)</f>
        <v>11</v>
      </c>
      <c r="G18" s="20" t="str">
        <f aca="false">IFERROR(INDEX($K$6:$K$21,MATCH(11,$O$6:$O$21,0)),"")</f>
        <v>[Estrutura Econômica e Fiscal] EST-05 – Receitas próprias / receita corrente (%)</v>
      </c>
      <c r="H18" s="21" t="n">
        <f aca="false">IFERROR(INDEX($M$6:$M$21,MATCH(11,$O$6:$O$21,0)),"")</f>
        <v>9.96</v>
      </c>
      <c r="K18" s="1" t="str">
        <f aca="false">Aux!B18</f>
        <v>[Estrutura Econômica e Fiscal] EST-02 – Participação da administração pública no VAB total (%)</v>
      </c>
      <c r="L18" s="1" t="str">
        <f aca="false">'Indicadores (F-W)'!AM18</f>
        <v>Fraqueza</v>
      </c>
      <c r="M18" s="90" t="n">
        <f aca="false">IF('Indicadores (F-W)'!AL18="","",'Indicadores (F-W)'!AL18)</f>
        <v>15.78</v>
      </c>
      <c r="N18" s="1" t="str">
        <f aca="false">IF(L18="Força",COUNTIF(L$6:L18,"Força"),"")</f>
        <v/>
      </c>
      <c r="O18" s="1" t="n">
        <f aca="false">IF(L18="Fraqueza",COUNTIF(L$6:L18,"Fraqueza"),"")</f>
        <v>8</v>
      </c>
    </row>
    <row r="19" customFormat="false" ht="30" hidden="false" customHeight="true" outlineLevel="0" collapsed="false">
      <c r="A19" s="15"/>
      <c r="B19" s="16" t="str">
        <f aca="false">IF(C19="","",12)</f>
        <v/>
      </c>
      <c r="C19" s="17" t="str">
        <f aca="false">IFERROR(INDEX($K$6:$K$21,MATCH(12,$N$6:$N$21,0)),"")</f>
        <v/>
      </c>
      <c r="D19" s="18" t="str">
        <f aca="false">IFERROR(INDEX($M$6:$M$21,MATCH(12,$N$6:$N$21,0)),"")</f>
        <v/>
      </c>
      <c r="F19" s="19" t="str">
        <f aca="false">IF(G19="","",12)</f>
        <v/>
      </c>
      <c r="G19" s="20" t="str">
        <f aca="false">IFERROR(INDEX($K$6:$K$21,MATCH(12,$O$6:$O$21,0)),"")</f>
        <v/>
      </c>
      <c r="H19" s="21" t="str">
        <f aca="false">IFERROR(INDEX($M$6:$M$21,MATCH(12,$O$6:$O$21,0)),"")</f>
        <v/>
      </c>
      <c r="K19" s="1" t="str">
        <f aca="false">Aux!B19</f>
        <v>[Estrutura Econômica e Fiscal] EST-03 – Vínculos formais por 100 habitantes (vínculos/100 hab.)</v>
      </c>
      <c r="L19" s="1" t="str">
        <f aca="false">'Indicadores (F-W)'!AM19</f>
        <v>Fraqueza</v>
      </c>
      <c r="M19" s="88" t="n">
        <f aca="false">IF('Indicadores (F-W)'!AL19="","",'Indicadores (F-W)'!AL19)</f>
        <v>19.67</v>
      </c>
      <c r="N19" s="1" t="str">
        <f aca="false">IF(L19="Força",COUNTIF(L$6:L19,"Força"),"")</f>
        <v/>
      </c>
      <c r="O19" s="1" t="n">
        <f aca="false">IF(L19="Fraqueza",COUNTIF(L$6:L19,"Fraqueza"),"")</f>
        <v>9</v>
      </c>
    </row>
    <row r="20" customFormat="false" ht="15" hidden="false" customHeight="true" outlineLevel="0" collapsed="false">
      <c r="C20" s="22" t="str">
        <f aca="false">IF(COUNTIF($L$6:$L$21,"Força")&gt;12,"+ "&amp;(COUNTIF($L$6:$L$21,"Força")-12)&amp;" item(ns) não exibido(s)","")</f>
        <v/>
      </c>
      <c r="G20" s="22" t="str">
        <f aca="false">IF(COUNTIF($L$6:$L$21,"Fraqueza")&gt;12,"+ "&amp;(COUNTIF($L$6:$L$21,"Fraqueza")-12)&amp;" item(ns) não exibido(s)","")</f>
        <v/>
      </c>
      <c r="K20" s="1" t="str">
        <f aca="false">Aux!B20</f>
        <v>[Estrutura Econômica e Fiscal] EST-04 – Concentração setorial do emprego formal (HHI por seção CNAE) (índice 0–1)</v>
      </c>
      <c r="L20" s="1" t="str">
        <f aca="false">'Indicadores (F-W)'!AM20</f>
        <v>Fraqueza</v>
      </c>
      <c r="M20" s="93" t="n">
        <f aca="false">IF('Indicadores (F-W)'!AL20="","",'Indicadores (F-W)'!AL20)</f>
        <v>0.2362</v>
      </c>
      <c r="N20" s="1" t="str">
        <f aca="false">IF(L20="Força",COUNTIF(L$6:L20,"Força"),"")</f>
        <v/>
      </c>
      <c r="O20" s="1" t="n">
        <f aca="false">IF(L20="Fraqueza",COUNTIF(L$6:L20,"Fraqueza"),"")</f>
        <v>10</v>
      </c>
    </row>
    <row r="21" customFormat="false" ht="15" hidden="false" customHeight="true" outlineLevel="0" collapsed="false">
      <c r="K21" s="1" t="str">
        <f aca="false">Aux!B21</f>
        <v>[Estrutura Econômica e Fiscal] EST-05 – Receitas próprias / receita corrente (%)</v>
      </c>
      <c r="L21" s="1" t="str">
        <f aca="false">'Indicadores (F-W)'!AM21</f>
        <v>Fraqueza</v>
      </c>
      <c r="M21" s="88" t="n">
        <f aca="false">IF('Indicadores (F-W)'!AL21="","",'Indicadores (F-W)'!AL21)</f>
        <v>9.96</v>
      </c>
      <c r="N21" s="1" t="str">
        <f aca="false">IF(L21="Força",COUNTIF(L$6:L21,"Força"),"")</f>
        <v/>
      </c>
      <c r="O21" s="1" t="n">
        <f aca="false">IF(L21="Fraqueza",COUNTIF(L$6:L21,"Fraqueza"),"")</f>
        <v>11</v>
      </c>
    </row>
    <row r="22" customFormat="false" ht="15" hidden="false" customHeight="true" outlineLevel="0" collapsed="false">
      <c r="B22" s="23" t="str">
        <f aca="false">"OPORTUNIDADES (O) — "&amp;SUM($T$6:$T$16)&amp;" item(ns)"</f>
        <v>OPORTUNIDADES (O) — 5 item(ns)</v>
      </c>
      <c r="C22" s="23"/>
      <c r="D22" s="23"/>
      <c r="F22" s="24" t="str">
        <f aca="false">"AMEAÇAS (T) — "&amp;SUM($V$6:$V$16)&amp;" item(ns)"</f>
        <v>AMEAÇAS (T) — 5 item(ns)</v>
      </c>
      <c r="G22" s="24"/>
      <c r="H22" s="24"/>
    </row>
    <row r="23" customFormat="false" ht="15" hidden="false" customHeight="true" outlineLevel="0" collapsed="false">
      <c r="B23" s="25" t="s">
        <v>29</v>
      </c>
      <c r="C23" s="25" t="s">
        <v>30</v>
      </c>
      <c r="D23" s="25" t="s">
        <v>33</v>
      </c>
      <c r="F23" s="26" t="s">
        <v>29</v>
      </c>
      <c r="G23" s="26" t="s">
        <v>30</v>
      </c>
      <c r="H23" s="26" t="s">
        <v>33</v>
      </c>
    </row>
    <row r="24" customFormat="false" ht="30" hidden="false" customHeight="true" outlineLevel="0" collapsed="false">
      <c r="A24" s="15" t="s">
        <v>34</v>
      </c>
      <c r="B24" s="27" t="n">
        <f aca="false">IF(C24="","",1)</f>
        <v>1</v>
      </c>
      <c r="C24" s="28" t="str">
        <f aca="false">IFERROR(INDEX($Q$6:$Q$16,MATCH(1,$U$6:$U$16,0)),"")</f>
        <v>[Agropecuária] OP-01 – Demanda externa por carne bovina e proteína animal</v>
      </c>
      <c r="D24" s="29" t="n">
        <f aca="false">IFERROR(INDEX($S$6:$S$16,MATCH(1,$U$6:$U$16,0)),"")</f>
        <v>3</v>
      </c>
      <c r="F24" s="30" t="n">
        <f aca="false">IF(G24="","",1)</f>
        <v>1</v>
      </c>
      <c r="G24" s="31" t="str">
        <f aca="false">IFERROR(INDEX($Q$6:$Q$16,MATCH(1,$W$6:$W$16,0)),"")</f>
        <v>[Agropecuária] AM-01 – Eventos climáticos extremos: secas prolongadas e incêndios no Pantanal</v>
      </c>
      <c r="H24" s="32" t="n">
        <f aca="false">IFERROR(INDEX($S$6:$S$16,MATCH(1,$W$6:$W$16,0)),"")</f>
        <v>3</v>
      </c>
    </row>
    <row r="25" customFormat="false" ht="30" hidden="false" customHeight="true" outlineLevel="0" collapsed="false">
      <c r="A25" s="15"/>
      <c r="B25" s="27" t="n">
        <f aca="false">IF(C25="","",2)</f>
        <v>2</v>
      </c>
      <c r="C25" s="28" t="str">
        <f aca="false">IFERROR(INDEX($Q$6:$Q$16,MATCH(2,$U$6:$U$16,0)),"")</f>
        <v>[Agropecuária] OP-02 – Mercados para produtos diferenciados e certificados (carne sustentável/orgânica, origem Pantanal)</v>
      </c>
      <c r="D25" s="29" t="n">
        <f aca="false">IFERROR(INDEX($S$6:$S$16,MATCH(2,$U$6:$U$16,0)),"")</f>
        <v>3</v>
      </c>
      <c r="F25" s="30" t="n">
        <f aca="false">IF(G25="","",2)</f>
        <v>2</v>
      </c>
      <c r="G25" s="31" t="str">
        <f aca="false">IFERROR(INDEX($Q$6:$Q$16,MATCH(2,$W$6:$W$16,0)),"")</f>
        <v>[Agropecuária] AM-02 – Volatilidade de preços de commodities (boi gordo, soja, milho)</v>
      </c>
      <c r="H25" s="32" t="n">
        <f aca="false">IFERROR(INDEX($S$6:$S$16,MATCH(2,$W$6:$W$16,0)),"")</f>
        <v>3</v>
      </c>
    </row>
    <row r="26" customFormat="false" ht="30" hidden="false" customHeight="true" outlineLevel="0" collapsed="false">
      <c r="A26" s="15"/>
      <c r="B26" s="27" t="n">
        <f aca="false">IF(C26="","",3)</f>
        <v>3</v>
      </c>
      <c r="C26" s="28" t="str">
        <f aca="false">IFERROR(INDEX($Q$6:$Q$16,MATCH(3,$U$6:$U$16,0)),"")</f>
        <v>[Comércio e Serviços] OP-03 – Expansão do turismo de natureza, pesca esportiva e ecoturismo</v>
      </c>
      <c r="D26" s="29" t="n">
        <f aca="false">IFERROR(INDEX($S$6:$S$16,MATCH(3,$U$6:$U$16,0)),"")</f>
        <v>2</v>
      </c>
      <c r="F26" s="30" t="n">
        <f aca="false">IF(G26="","",3)</f>
        <v>3</v>
      </c>
      <c r="G26" s="31" t="str">
        <f aca="false">IFERROR(INDEX($Q$6:$Q$16,MATCH(3,$W$6:$W$16,0)),"")</f>
        <v>[Agropecuária] AM-03 – Exigências ambientais de mercados importadores e barreiras ligadas a desmatamento (ex.: EUDR)</v>
      </c>
      <c r="H26" s="32" t="n">
        <f aca="false">IFERROR(INDEX($S$6:$S$16,MATCH(3,$W$6:$W$16,0)),"")</f>
        <v>3</v>
      </c>
    </row>
    <row r="27" customFormat="false" ht="30" hidden="false" customHeight="true" outlineLevel="0" collapsed="false">
      <c r="A27" s="15"/>
      <c r="B27" s="27" t="n">
        <f aca="false">IF(C27="","",4)</f>
        <v>4</v>
      </c>
      <c r="C27" s="28" t="str">
        <f aca="false">IFERROR(INDEX($Q$6:$Q$16,MATCH(4,$U$6:$U$16,0)),"")</f>
        <v>[Estrutura Econômica e Fiscal] OP-05 – Corredores logísticos (rodovias federais, ferrovia, hidrovia do Paraguai)</v>
      </c>
      <c r="D27" s="29" t="n">
        <f aca="false">IFERROR(INDEX($S$6:$S$16,MATCH(4,$U$6:$U$16,0)),"")</f>
        <v>2</v>
      </c>
      <c r="F27" s="30" t="n">
        <f aca="false">IF(G27="","",4)</f>
        <v>4</v>
      </c>
      <c r="G27" s="31" t="str">
        <f aca="false">IFERROR(INDEX($Q$6:$Q$16,MATCH(4,$W$6:$W$16,0)),"")</f>
        <v>[Estrutura Econômica e Fiscal] AM-04 – Transição da Reforma Tributária (IBS/CBS) e efeitos sobre a repartição de receitas municipais</v>
      </c>
      <c r="H27" s="32" t="n">
        <f aca="false">IFERROR(INDEX($S$6:$S$16,MATCH(4,$W$6:$W$16,0)),"")</f>
        <v>2</v>
      </c>
    </row>
    <row r="28" customFormat="false" ht="30" hidden="false" customHeight="true" outlineLevel="0" collapsed="false">
      <c r="A28" s="15"/>
      <c r="B28" s="27" t="n">
        <f aca="false">IF(C28="","",5)</f>
        <v>5</v>
      </c>
      <c r="C28" s="28" t="str">
        <f aca="false">IFERROR(INDEX($Q$6:$Q$16,MATCH(5,$U$6:$U$16,0)),"")</f>
        <v>[Estrutura Econômica e Fiscal] OP-06 – Instrumentos de fomento e financiamento (FCO, crédito rural, PSA, mercado de carbono)</v>
      </c>
      <c r="D28" s="29" t="n">
        <f aca="false">IFERROR(INDEX($S$6:$S$16,MATCH(5,$U$6:$U$16,0)),"")</f>
        <v>3</v>
      </c>
      <c r="F28" s="30" t="n">
        <f aca="false">IF(G28="","",5)</f>
        <v>5</v>
      </c>
      <c r="G28" s="31" t="str">
        <f aca="false">IFERROR(INDEX($Q$6:$Q$16,MATCH(5,$W$6:$W$16,0)),"")</f>
        <v>[Comércio e Serviços] AM-05 – Polarização regional por centros maiores (evasão de consumo, serviços e mão de obra)</v>
      </c>
      <c r="H28" s="32" t="n">
        <f aca="false">IFERROR(INDEX($S$6:$S$16,MATCH(5,$W$6:$W$16,0)),"")</f>
        <v>3</v>
      </c>
    </row>
    <row r="29" customFormat="false" ht="30" hidden="false" customHeight="true" outlineLevel="0" collapsed="false">
      <c r="A29" s="15"/>
      <c r="B29" s="27" t="str">
        <f aca="false">IF(C29="","",6)</f>
        <v/>
      </c>
      <c r="C29" s="28" t="str">
        <f aca="false">IFERROR(INDEX($Q$6:$Q$16,MATCH(6,$U$6:$U$16,0)),"")</f>
        <v/>
      </c>
      <c r="D29" s="29" t="str">
        <f aca="false">IFERROR(INDEX($S$6:$S$16,MATCH(6,$U$6:$U$16,0)),"")</f>
        <v/>
      </c>
      <c r="F29" s="30" t="str">
        <f aca="false">IF(G29="","",6)</f>
        <v/>
      </c>
      <c r="G29" s="31" t="str">
        <f aca="false">IFERROR(INDEX($Q$6:$Q$16,MATCH(6,$W$6:$W$16,0)),"")</f>
        <v/>
      </c>
      <c r="H29" s="32" t="str">
        <f aca="false">IFERROR(INDEX($S$6:$S$16,MATCH(6,$W$6:$W$16,0)),"")</f>
        <v/>
      </c>
    </row>
    <row r="30" customFormat="false" ht="30" hidden="false" customHeight="true" outlineLevel="0" collapsed="false">
      <c r="A30" s="15"/>
      <c r="B30" s="27" t="str">
        <f aca="false">IF(C30="","",7)</f>
        <v/>
      </c>
      <c r="C30" s="28" t="str">
        <f aca="false">IFERROR(INDEX($Q$6:$Q$16,MATCH(7,$U$6:$U$16,0)),"")</f>
        <v/>
      </c>
      <c r="D30" s="29" t="str">
        <f aca="false">IFERROR(INDEX($S$6:$S$16,MATCH(7,$U$6:$U$16,0)),"")</f>
        <v/>
      </c>
      <c r="F30" s="30" t="str">
        <f aca="false">IF(G30="","",7)</f>
        <v/>
      </c>
      <c r="G30" s="31" t="str">
        <f aca="false">IFERROR(INDEX($Q$6:$Q$16,MATCH(7,$W$6:$W$16,0)),"")</f>
        <v/>
      </c>
      <c r="H30" s="32" t="str">
        <f aca="false">IFERROR(INDEX($S$6:$S$16,MATCH(7,$W$6:$W$16,0)),"")</f>
        <v/>
      </c>
    </row>
    <row r="31" customFormat="false" ht="30" hidden="false" customHeight="true" outlineLevel="0" collapsed="false">
      <c r="A31" s="15"/>
      <c r="B31" s="27" t="str">
        <f aca="false">IF(C31="","",8)</f>
        <v/>
      </c>
      <c r="C31" s="28" t="str">
        <f aca="false">IFERROR(INDEX($Q$6:$Q$16,MATCH(8,$U$6:$U$16,0)),"")</f>
        <v/>
      </c>
      <c r="D31" s="29" t="str">
        <f aca="false">IFERROR(INDEX($S$6:$S$16,MATCH(8,$U$6:$U$16,0)),"")</f>
        <v/>
      </c>
      <c r="F31" s="30" t="str">
        <f aca="false">IF(G31="","",8)</f>
        <v/>
      </c>
      <c r="G31" s="31" t="str">
        <f aca="false">IFERROR(INDEX($Q$6:$Q$16,MATCH(8,$W$6:$W$16,0)),"")</f>
        <v/>
      </c>
      <c r="H31" s="32" t="str">
        <f aca="false">IFERROR(INDEX($S$6:$S$16,MATCH(8,$W$6:$W$16,0)),"")</f>
        <v/>
      </c>
    </row>
    <row r="32" customFormat="false" ht="30" hidden="false" customHeight="true" outlineLevel="0" collapsed="false">
      <c r="A32" s="15"/>
      <c r="B32" s="27" t="str">
        <f aca="false">IF(C32="","",9)</f>
        <v/>
      </c>
      <c r="C32" s="28" t="str">
        <f aca="false">IFERROR(INDEX($Q$6:$Q$16,MATCH(9,$U$6:$U$16,0)),"")</f>
        <v/>
      </c>
      <c r="D32" s="29" t="str">
        <f aca="false">IFERROR(INDEX($S$6:$S$16,MATCH(9,$U$6:$U$16,0)),"")</f>
        <v/>
      </c>
      <c r="F32" s="30" t="str">
        <f aca="false">IF(G32="","",9)</f>
        <v/>
      </c>
      <c r="G32" s="31" t="str">
        <f aca="false">IFERROR(INDEX($Q$6:$Q$16,MATCH(9,$W$6:$W$16,0)),"")</f>
        <v/>
      </c>
      <c r="H32" s="32" t="str">
        <f aca="false">IFERROR(INDEX($S$6:$S$16,MATCH(9,$W$6:$W$16,0)),"")</f>
        <v/>
      </c>
    </row>
    <row r="33" customFormat="false" ht="30" hidden="false" customHeight="true" outlineLevel="0" collapsed="false">
      <c r="A33" s="15"/>
      <c r="B33" s="27" t="str">
        <f aca="false">IF(C33="","",10)</f>
        <v/>
      </c>
      <c r="C33" s="28" t="str">
        <f aca="false">IFERROR(INDEX($Q$6:$Q$16,MATCH(10,$U$6:$U$16,0)),"")</f>
        <v/>
      </c>
      <c r="D33" s="29" t="str">
        <f aca="false">IFERROR(INDEX($S$6:$S$16,MATCH(10,$U$6:$U$16,0)),"")</f>
        <v/>
      </c>
      <c r="F33" s="30" t="str">
        <f aca="false">IF(G33="","",10)</f>
        <v/>
      </c>
      <c r="G33" s="31" t="str">
        <f aca="false">IFERROR(INDEX($Q$6:$Q$16,MATCH(10,$W$6:$W$16,0)),"")</f>
        <v/>
      </c>
      <c r="H33" s="32" t="str">
        <f aca="false">IFERROR(INDEX($S$6:$S$16,MATCH(10,$W$6:$W$16,0)),"")</f>
        <v/>
      </c>
    </row>
    <row r="34" customFormat="false" ht="30" hidden="false" customHeight="true" outlineLevel="0" collapsed="false">
      <c r="A34" s="15"/>
      <c r="B34" s="27" t="str">
        <f aca="false">IF(C34="","",11)</f>
        <v/>
      </c>
      <c r="C34" s="28" t="str">
        <f aca="false">IFERROR(INDEX($Q$6:$Q$16,MATCH(11,$U$6:$U$16,0)),"")</f>
        <v/>
      </c>
      <c r="D34" s="29" t="str">
        <f aca="false">IFERROR(INDEX($S$6:$S$16,MATCH(11,$U$6:$U$16,0)),"")</f>
        <v/>
      </c>
      <c r="F34" s="30" t="str">
        <f aca="false">IF(G34="","",11)</f>
        <v/>
      </c>
      <c r="G34" s="31" t="str">
        <f aca="false">IFERROR(INDEX($Q$6:$Q$16,MATCH(11,$W$6:$W$16,0)),"")</f>
        <v/>
      </c>
      <c r="H34" s="32" t="str">
        <f aca="false">IFERROR(INDEX($S$6:$S$16,MATCH(11,$W$6:$W$16,0)),"")</f>
        <v/>
      </c>
    </row>
    <row r="35" customFormat="false" ht="30" hidden="false" customHeight="true" outlineLevel="0" collapsed="false">
      <c r="A35" s="15"/>
      <c r="B35" s="27" t="str">
        <f aca="false">IF(C35="","",12)</f>
        <v/>
      </c>
      <c r="C35" s="28" t="str">
        <f aca="false">IFERROR(INDEX($Q$6:$Q$16,MATCH(12,$U$6:$U$16,0)),"")</f>
        <v/>
      </c>
      <c r="D35" s="29" t="str">
        <f aca="false">IFERROR(INDEX($S$6:$S$16,MATCH(12,$U$6:$U$16,0)),"")</f>
        <v/>
      </c>
      <c r="F35" s="30" t="str">
        <f aca="false">IF(G35="","",12)</f>
        <v/>
      </c>
      <c r="G35" s="31" t="str">
        <f aca="false">IFERROR(INDEX($Q$6:$Q$16,MATCH(12,$W$6:$W$16,0)),"")</f>
        <v/>
      </c>
      <c r="H35" s="32" t="str">
        <f aca="false">IFERROR(INDEX($S$6:$S$16,MATCH(12,$W$6:$W$16,0)),"")</f>
        <v/>
      </c>
    </row>
    <row r="36" customFormat="false" ht="15" hidden="false" customHeight="true" outlineLevel="0" collapsed="false">
      <c r="C36" s="22" t="str">
        <f aca="false">IF(SUM($T$6:$T$16)&gt;12,"+ "&amp;(SUM($T$6:$T$16)-12)&amp;" item(ns) não exibido(s)","")</f>
        <v/>
      </c>
      <c r="G36" s="22" t="str">
        <f aca="false">IF(SUM($V$6:$V$16)&gt;12,"+ "&amp;(SUM($V$6:$V$16)-12)&amp;" item(ns) não exibido(s)","")</f>
        <v/>
      </c>
    </row>
    <row r="38" customFormat="false" ht="15" hidden="false" customHeight="true" outlineLevel="0" collapsed="false">
      <c r="B38" s="33" t="s">
        <v>329</v>
      </c>
    </row>
  </sheetData>
  <mergeCells count="8">
    <mergeCell ref="B5:D5"/>
    <mergeCell ref="F5:H5"/>
    <mergeCell ref="B6:D6"/>
    <mergeCell ref="F6:H6"/>
    <mergeCell ref="A8:A19"/>
    <mergeCell ref="B22:D22"/>
    <mergeCell ref="F22:H22"/>
    <mergeCell ref="A24:A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2026-09-22T20:37:33Z</dcterms:created>
  <dc:creator>openpyxl</dc:creator>
  <dc:description/>
  <dc:language>en-US</dc:language>
  <cp:lastModifiedBy/>
  <dcterms:modified xsi:type="dcterms:W3CDTF">2026-09-25T19:09:49Z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